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LENOVO\Desktop\Fundamentos de ciencias de Datos\Semana de 06 de julio al 10 de julio\"/>
    </mc:Choice>
  </mc:AlternateContent>
  <xr:revisionPtr revIDLastSave="0" documentId="13_ncr:1_{80B44AA1-47F4-4DCE-BA97-1CCE0606E3CF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Dashboard" sheetId="1" r:id="rId1"/>
    <sheet name="Datos" sheetId="2" r:id="rId2"/>
    <sheet name="Resumen" sheetId="3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58" i="3" l="1"/>
  <c r="C57" i="3"/>
  <c r="C56" i="3"/>
  <c r="C55" i="3"/>
  <c r="C54" i="3"/>
  <c r="C53" i="3"/>
  <c r="C52" i="3"/>
  <c r="C51" i="3"/>
  <c r="C50" i="3"/>
  <c r="C49" i="3"/>
  <c r="H48" i="3"/>
  <c r="G48" i="3"/>
  <c r="C48" i="3"/>
  <c r="H47" i="3"/>
  <c r="G47" i="3"/>
  <c r="C47" i="3"/>
  <c r="G44" i="3"/>
  <c r="G43" i="3"/>
  <c r="G42" i="3"/>
  <c r="D42" i="3"/>
  <c r="C42" i="3"/>
  <c r="G41" i="3"/>
  <c r="D41" i="3"/>
  <c r="C41" i="3"/>
  <c r="G40" i="3"/>
  <c r="D40" i="3"/>
  <c r="C40" i="3"/>
  <c r="G39" i="3"/>
  <c r="D39" i="3"/>
  <c r="C39" i="3"/>
  <c r="G38" i="3"/>
  <c r="D38" i="3"/>
  <c r="C38" i="3"/>
  <c r="L37" i="3"/>
  <c r="K37" i="3"/>
  <c r="G37" i="3"/>
  <c r="D37" i="3"/>
  <c r="C37" i="3"/>
  <c r="L36" i="3"/>
  <c r="K36" i="3"/>
  <c r="G36" i="3"/>
  <c r="D36" i="3"/>
  <c r="C36" i="3"/>
  <c r="L35" i="3"/>
  <c r="K35" i="3"/>
  <c r="G35" i="3"/>
  <c r="D35" i="3"/>
  <c r="C35" i="3"/>
  <c r="L34" i="3"/>
  <c r="K34" i="3"/>
  <c r="G34" i="3"/>
  <c r="D34" i="3"/>
  <c r="C34" i="3"/>
  <c r="L33" i="3"/>
  <c r="K33" i="3"/>
  <c r="G33" i="3"/>
  <c r="D33" i="3"/>
  <c r="C33" i="3"/>
  <c r="G26" i="3"/>
  <c r="D26" i="3"/>
  <c r="C26" i="3"/>
  <c r="G25" i="3"/>
  <c r="D25" i="3"/>
  <c r="C25" i="3"/>
  <c r="L24" i="3"/>
  <c r="K24" i="3"/>
  <c r="G24" i="3"/>
  <c r="D24" i="3"/>
  <c r="C24" i="3"/>
  <c r="L23" i="3"/>
  <c r="K23" i="3"/>
  <c r="G23" i="3"/>
  <c r="D23" i="3"/>
  <c r="C23" i="3"/>
  <c r="L22" i="3"/>
  <c r="K22" i="3"/>
  <c r="G22" i="3"/>
  <c r="D22" i="3"/>
  <c r="C22" i="3"/>
  <c r="D15" i="3"/>
  <c r="C15" i="3"/>
  <c r="D14" i="3"/>
  <c r="C14" i="3"/>
  <c r="D13" i="3"/>
  <c r="C13" i="3"/>
  <c r="D12" i="3"/>
  <c r="C12" i="3"/>
  <c r="D11" i="3"/>
  <c r="C11" i="3"/>
  <c r="L10" i="3"/>
  <c r="K10" i="3"/>
  <c r="D10" i="3"/>
  <c r="C10" i="3"/>
  <c r="L9" i="3"/>
  <c r="K9" i="3"/>
  <c r="D9" i="3"/>
  <c r="C9" i="3"/>
  <c r="L8" i="3"/>
  <c r="K8" i="3"/>
  <c r="D8" i="3"/>
  <c r="C8" i="3"/>
  <c r="L7" i="3"/>
  <c r="K7" i="3"/>
  <c r="D7" i="3"/>
  <c r="C7" i="3"/>
  <c r="L6" i="3"/>
  <c r="K6" i="3"/>
  <c r="D6" i="3"/>
  <c r="C6" i="3"/>
  <c r="L5" i="3"/>
  <c r="K5" i="3"/>
  <c r="D5" i="3"/>
  <c r="C5" i="3"/>
  <c r="L4" i="3"/>
  <c r="K4" i="3"/>
  <c r="D4" i="3"/>
  <c r="C4" i="3"/>
  <c r="K7" i="1" s="1"/>
  <c r="S601" i="2"/>
  <c r="S600" i="2"/>
  <c r="S599" i="2"/>
  <c r="S598" i="2"/>
  <c r="S597" i="2"/>
  <c r="S596" i="2"/>
  <c r="S595" i="2"/>
  <c r="S594" i="2"/>
  <c r="S593" i="2"/>
  <c r="S592" i="2"/>
  <c r="S591" i="2"/>
  <c r="S590" i="2"/>
  <c r="S589" i="2"/>
  <c r="S588" i="2"/>
  <c r="S587" i="2"/>
  <c r="S586" i="2"/>
  <c r="S585" i="2"/>
  <c r="S584" i="2"/>
  <c r="S583" i="2"/>
  <c r="S582" i="2"/>
  <c r="S581" i="2"/>
  <c r="S580" i="2"/>
  <c r="S579" i="2"/>
  <c r="S578" i="2"/>
  <c r="S577" i="2"/>
  <c r="S576" i="2"/>
  <c r="S575" i="2"/>
  <c r="S574" i="2"/>
  <c r="S573" i="2"/>
  <c r="S572" i="2"/>
  <c r="S571" i="2"/>
  <c r="S570" i="2"/>
  <c r="S569" i="2"/>
  <c r="S568" i="2"/>
  <c r="S567" i="2"/>
  <c r="S566" i="2"/>
  <c r="S565" i="2"/>
  <c r="S564" i="2"/>
  <c r="S563" i="2"/>
  <c r="S562" i="2"/>
  <c r="S561" i="2"/>
  <c r="S560" i="2"/>
  <c r="S559" i="2"/>
  <c r="S558" i="2"/>
  <c r="S557" i="2"/>
  <c r="S556" i="2"/>
  <c r="S555" i="2"/>
  <c r="S554" i="2"/>
  <c r="S553" i="2"/>
  <c r="S552" i="2"/>
  <c r="S551" i="2"/>
  <c r="S550" i="2"/>
  <c r="S549" i="2"/>
  <c r="S548" i="2"/>
  <c r="S547" i="2"/>
  <c r="S546" i="2"/>
  <c r="S545" i="2"/>
  <c r="S544" i="2"/>
  <c r="S543" i="2"/>
  <c r="S542" i="2"/>
  <c r="S541" i="2"/>
  <c r="S540" i="2"/>
  <c r="S539" i="2"/>
  <c r="S538" i="2"/>
  <c r="S537" i="2"/>
  <c r="S536" i="2"/>
  <c r="S535" i="2"/>
  <c r="S534" i="2"/>
  <c r="S533" i="2"/>
  <c r="S532" i="2"/>
  <c r="S531" i="2"/>
  <c r="S530" i="2"/>
  <c r="S529" i="2"/>
  <c r="S528" i="2"/>
  <c r="S527" i="2"/>
  <c r="S526" i="2"/>
  <c r="S525" i="2"/>
  <c r="S524" i="2"/>
  <c r="S523" i="2"/>
  <c r="S522" i="2"/>
  <c r="S521" i="2"/>
  <c r="S520" i="2"/>
  <c r="S519" i="2"/>
  <c r="S518" i="2"/>
  <c r="S517" i="2"/>
  <c r="S516" i="2"/>
  <c r="S515" i="2"/>
  <c r="S514" i="2"/>
  <c r="S513" i="2"/>
  <c r="S512" i="2"/>
  <c r="S511" i="2"/>
  <c r="S510" i="2"/>
  <c r="S509" i="2"/>
  <c r="S508" i="2"/>
  <c r="S507" i="2"/>
  <c r="S506" i="2"/>
  <c r="S505" i="2"/>
  <c r="S504" i="2"/>
  <c r="S503" i="2"/>
  <c r="S502" i="2"/>
  <c r="S501" i="2"/>
  <c r="S500" i="2"/>
  <c r="S499" i="2"/>
  <c r="S498" i="2"/>
  <c r="S497" i="2"/>
  <c r="S496" i="2"/>
  <c r="S495" i="2"/>
  <c r="S494" i="2"/>
  <c r="S493" i="2"/>
  <c r="S492" i="2"/>
  <c r="S491" i="2"/>
  <c r="S490" i="2"/>
  <c r="S489" i="2"/>
  <c r="S488" i="2"/>
  <c r="S487" i="2"/>
  <c r="S486" i="2"/>
  <c r="S485" i="2"/>
  <c r="S484" i="2"/>
  <c r="S483" i="2"/>
  <c r="S482" i="2"/>
  <c r="S481" i="2"/>
  <c r="S480" i="2"/>
  <c r="S479" i="2"/>
  <c r="S478" i="2"/>
  <c r="S477" i="2"/>
  <c r="S476" i="2"/>
  <c r="S475" i="2"/>
  <c r="S474" i="2"/>
  <c r="S473" i="2"/>
  <c r="S472" i="2"/>
  <c r="S471" i="2"/>
  <c r="S470" i="2"/>
  <c r="S469" i="2"/>
  <c r="S468" i="2"/>
  <c r="S467" i="2"/>
  <c r="S466" i="2"/>
  <c r="S465" i="2"/>
  <c r="S464" i="2"/>
  <c r="S463" i="2"/>
  <c r="S462" i="2"/>
  <c r="S461" i="2"/>
  <c r="S460" i="2"/>
  <c r="S459" i="2"/>
  <c r="S458" i="2"/>
  <c r="S457" i="2"/>
  <c r="S456" i="2"/>
  <c r="S455" i="2"/>
  <c r="S454" i="2"/>
  <c r="S453" i="2"/>
  <c r="S452" i="2"/>
  <c r="S451" i="2"/>
  <c r="S450" i="2"/>
  <c r="S449" i="2"/>
  <c r="S448" i="2"/>
  <c r="S447" i="2"/>
  <c r="S446" i="2"/>
  <c r="S445" i="2"/>
  <c r="S444" i="2"/>
  <c r="S443" i="2"/>
  <c r="S442" i="2"/>
  <c r="S441" i="2"/>
  <c r="S440" i="2"/>
  <c r="S439" i="2"/>
  <c r="S438" i="2"/>
  <c r="S437" i="2"/>
  <c r="S436" i="2"/>
  <c r="S435" i="2"/>
  <c r="S434" i="2"/>
  <c r="S433" i="2"/>
  <c r="S432" i="2"/>
  <c r="S431" i="2"/>
  <c r="S430" i="2"/>
  <c r="S429" i="2"/>
  <c r="S428" i="2"/>
  <c r="S427" i="2"/>
  <c r="S426" i="2"/>
  <c r="S425" i="2"/>
  <c r="S424" i="2"/>
  <c r="S423" i="2"/>
  <c r="S422" i="2"/>
  <c r="S421" i="2"/>
  <c r="S420" i="2"/>
  <c r="S419" i="2"/>
  <c r="S418" i="2"/>
  <c r="S417" i="2"/>
  <c r="S416" i="2"/>
  <c r="S415" i="2"/>
  <c r="S414" i="2"/>
  <c r="S413" i="2"/>
  <c r="S412" i="2"/>
  <c r="S411" i="2"/>
  <c r="S410" i="2"/>
  <c r="S409" i="2"/>
  <c r="S408" i="2"/>
  <c r="S407" i="2"/>
  <c r="S406" i="2"/>
  <c r="S405" i="2"/>
  <c r="S404" i="2"/>
  <c r="S403" i="2"/>
  <c r="S402" i="2"/>
  <c r="S401" i="2"/>
  <c r="S400" i="2"/>
  <c r="S399" i="2"/>
  <c r="S398" i="2"/>
  <c r="S397" i="2"/>
  <c r="S396" i="2"/>
  <c r="S395" i="2"/>
  <c r="S394" i="2"/>
  <c r="S393" i="2"/>
  <c r="S392" i="2"/>
  <c r="S391" i="2"/>
  <c r="S390" i="2"/>
  <c r="S389" i="2"/>
  <c r="S388" i="2"/>
  <c r="S387" i="2"/>
  <c r="S386" i="2"/>
  <c r="S385" i="2"/>
  <c r="S384" i="2"/>
  <c r="S383" i="2"/>
  <c r="S382" i="2"/>
  <c r="S381" i="2"/>
  <c r="S380" i="2"/>
  <c r="S379" i="2"/>
  <c r="S378" i="2"/>
  <c r="S377" i="2"/>
  <c r="S376" i="2"/>
  <c r="S375" i="2"/>
  <c r="S374" i="2"/>
  <c r="S373" i="2"/>
  <c r="S372" i="2"/>
  <c r="S371" i="2"/>
  <c r="S370" i="2"/>
  <c r="S369" i="2"/>
  <c r="S368" i="2"/>
  <c r="S367" i="2"/>
  <c r="S366" i="2"/>
  <c r="S365" i="2"/>
  <c r="S364" i="2"/>
  <c r="S363" i="2"/>
  <c r="S362" i="2"/>
  <c r="S361" i="2"/>
  <c r="S360" i="2"/>
  <c r="S359" i="2"/>
  <c r="S358" i="2"/>
  <c r="S357" i="2"/>
  <c r="S356" i="2"/>
  <c r="S355" i="2"/>
  <c r="S354" i="2"/>
  <c r="S353" i="2"/>
  <c r="S352" i="2"/>
  <c r="S351" i="2"/>
  <c r="S350" i="2"/>
  <c r="S349" i="2"/>
  <c r="S348" i="2"/>
  <c r="S347" i="2"/>
  <c r="S346" i="2"/>
  <c r="S345" i="2"/>
  <c r="S344" i="2"/>
  <c r="S343" i="2"/>
  <c r="S342" i="2"/>
  <c r="S341" i="2"/>
  <c r="S340" i="2"/>
  <c r="S339" i="2"/>
  <c r="S338" i="2"/>
  <c r="S337" i="2"/>
  <c r="S336" i="2"/>
  <c r="S335" i="2"/>
  <c r="S334" i="2"/>
  <c r="S333" i="2"/>
  <c r="S332" i="2"/>
  <c r="S331" i="2"/>
  <c r="S330" i="2"/>
  <c r="S329" i="2"/>
  <c r="S328" i="2"/>
  <c r="S327" i="2"/>
  <c r="S326" i="2"/>
  <c r="S325" i="2"/>
  <c r="S324" i="2"/>
  <c r="S323" i="2"/>
  <c r="S322" i="2"/>
  <c r="S321" i="2"/>
  <c r="S320" i="2"/>
  <c r="S319" i="2"/>
  <c r="S318" i="2"/>
  <c r="S317" i="2"/>
  <c r="S316" i="2"/>
  <c r="S315" i="2"/>
  <c r="S314" i="2"/>
  <c r="S313" i="2"/>
  <c r="S312" i="2"/>
  <c r="S311" i="2"/>
  <c r="S310" i="2"/>
  <c r="S309" i="2"/>
  <c r="S308" i="2"/>
  <c r="S307" i="2"/>
  <c r="S306" i="2"/>
  <c r="S305" i="2"/>
  <c r="S304" i="2"/>
  <c r="S303" i="2"/>
  <c r="S302" i="2"/>
  <c r="S301" i="2"/>
  <c r="S300" i="2"/>
  <c r="S299" i="2"/>
  <c r="S298" i="2"/>
  <c r="S297" i="2"/>
  <c r="S296" i="2"/>
  <c r="S295" i="2"/>
  <c r="S294" i="2"/>
  <c r="S293" i="2"/>
  <c r="S292" i="2"/>
  <c r="S291" i="2"/>
  <c r="S290" i="2"/>
  <c r="S289" i="2"/>
  <c r="S288" i="2"/>
  <c r="S287" i="2"/>
  <c r="S286" i="2"/>
  <c r="S285" i="2"/>
  <c r="S284" i="2"/>
  <c r="S283" i="2"/>
  <c r="S282" i="2"/>
  <c r="S281" i="2"/>
  <c r="S280" i="2"/>
  <c r="S279" i="2"/>
  <c r="S278" i="2"/>
  <c r="S277" i="2"/>
  <c r="S276" i="2"/>
  <c r="S275" i="2"/>
  <c r="S274" i="2"/>
  <c r="S273" i="2"/>
  <c r="S272" i="2"/>
  <c r="S271" i="2"/>
  <c r="S270" i="2"/>
  <c r="S269" i="2"/>
  <c r="S268" i="2"/>
  <c r="S267" i="2"/>
  <c r="S266" i="2"/>
  <c r="S265" i="2"/>
  <c r="S264" i="2"/>
  <c r="S263" i="2"/>
  <c r="S262" i="2"/>
  <c r="S261" i="2"/>
  <c r="S260" i="2"/>
  <c r="S259" i="2"/>
  <c r="S258" i="2"/>
  <c r="S257" i="2"/>
  <c r="S256" i="2"/>
  <c r="S255" i="2"/>
  <c r="S254" i="2"/>
  <c r="S253" i="2"/>
  <c r="S252" i="2"/>
  <c r="S251" i="2"/>
  <c r="S250" i="2"/>
  <c r="S249" i="2"/>
  <c r="S248" i="2"/>
  <c r="S247" i="2"/>
  <c r="S246" i="2"/>
  <c r="S245" i="2"/>
  <c r="S244" i="2"/>
  <c r="S243" i="2"/>
  <c r="S242" i="2"/>
  <c r="S241" i="2"/>
  <c r="S240" i="2"/>
  <c r="S239" i="2"/>
  <c r="S238" i="2"/>
  <c r="S237" i="2"/>
  <c r="S236" i="2"/>
  <c r="S235" i="2"/>
  <c r="S234" i="2"/>
  <c r="S233" i="2"/>
  <c r="S232" i="2"/>
  <c r="S231" i="2"/>
  <c r="S230" i="2"/>
  <c r="S229" i="2"/>
  <c r="S228" i="2"/>
  <c r="S227" i="2"/>
  <c r="S226" i="2"/>
  <c r="S225" i="2"/>
  <c r="S224" i="2"/>
  <c r="S223" i="2"/>
  <c r="S222" i="2"/>
  <c r="S221" i="2"/>
  <c r="S220" i="2"/>
  <c r="S219" i="2"/>
  <c r="S218" i="2"/>
  <c r="S217" i="2"/>
  <c r="S216" i="2"/>
  <c r="S215" i="2"/>
  <c r="S214" i="2"/>
  <c r="S213" i="2"/>
  <c r="S212" i="2"/>
  <c r="S211" i="2"/>
  <c r="S210" i="2"/>
  <c r="S209" i="2"/>
  <c r="S208" i="2"/>
  <c r="S207" i="2"/>
  <c r="S206" i="2"/>
  <c r="S205" i="2"/>
  <c r="S204" i="2"/>
  <c r="S203" i="2"/>
  <c r="S202" i="2"/>
  <c r="S201" i="2"/>
  <c r="S200" i="2"/>
  <c r="S199" i="2"/>
  <c r="S198" i="2"/>
  <c r="S197" i="2"/>
  <c r="S196" i="2"/>
  <c r="S195" i="2"/>
  <c r="S194" i="2"/>
  <c r="S193" i="2"/>
  <c r="S192" i="2"/>
  <c r="S191" i="2"/>
  <c r="S190" i="2"/>
  <c r="S189" i="2"/>
  <c r="S188" i="2"/>
  <c r="S187" i="2"/>
  <c r="S186" i="2"/>
  <c r="S185" i="2"/>
  <c r="S184" i="2"/>
  <c r="S183" i="2"/>
  <c r="S182" i="2"/>
  <c r="S181" i="2"/>
  <c r="S180" i="2"/>
  <c r="S179" i="2"/>
  <c r="S178" i="2"/>
  <c r="S177" i="2"/>
  <c r="S176" i="2"/>
  <c r="S175" i="2"/>
  <c r="S174" i="2"/>
  <c r="S173" i="2"/>
  <c r="S172" i="2"/>
  <c r="S171" i="2"/>
  <c r="S170" i="2"/>
  <c r="S169" i="2"/>
  <c r="S168" i="2"/>
  <c r="S167" i="2"/>
  <c r="S166" i="2"/>
  <c r="S165" i="2"/>
  <c r="S164" i="2"/>
  <c r="S163" i="2"/>
  <c r="S162" i="2"/>
  <c r="S161" i="2"/>
  <c r="S160" i="2"/>
  <c r="S159" i="2"/>
  <c r="S158" i="2"/>
  <c r="S157" i="2"/>
  <c r="S156" i="2"/>
  <c r="S155" i="2"/>
  <c r="S154" i="2"/>
  <c r="S153" i="2"/>
  <c r="S152" i="2"/>
  <c r="S151" i="2"/>
  <c r="S150" i="2"/>
  <c r="S149" i="2"/>
  <c r="S148" i="2"/>
  <c r="S147" i="2"/>
  <c r="S146" i="2"/>
  <c r="S145" i="2"/>
  <c r="S144" i="2"/>
  <c r="S143" i="2"/>
  <c r="S142" i="2"/>
  <c r="S141" i="2"/>
  <c r="S140" i="2"/>
  <c r="S139" i="2"/>
  <c r="S138" i="2"/>
  <c r="S137" i="2"/>
  <c r="S136" i="2"/>
  <c r="S135" i="2"/>
  <c r="S134" i="2"/>
  <c r="S133" i="2"/>
  <c r="S132" i="2"/>
  <c r="S131" i="2"/>
  <c r="S130" i="2"/>
  <c r="S129" i="2"/>
  <c r="S128" i="2"/>
  <c r="S127" i="2"/>
  <c r="S126" i="2"/>
  <c r="S125" i="2"/>
  <c r="S124" i="2"/>
  <c r="S123" i="2"/>
  <c r="S122" i="2"/>
  <c r="S121" i="2"/>
  <c r="S120" i="2"/>
  <c r="S119" i="2"/>
  <c r="S118" i="2"/>
  <c r="S117" i="2"/>
  <c r="S116" i="2"/>
  <c r="S115" i="2"/>
  <c r="S114" i="2"/>
  <c r="S113" i="2"/>
  <c r="S112" i="2"/>
  <c r="S111" i="2"/>
  <c r="S110" i="2"/>
  <c r="S109" i="2"/>
  <c r="S108" i="2"/>
  <c r="S107" i="2"/>
  <c r="S106" i="2"/>
  <c r="S105" i="2"/>
  <c r="S104" i="2"/>
  <c r="S103" i="2"/>
  <c r="S102" i="2"/>
  <c r="S101" i="2"/>
  <c r="S100" i="2"/>
  <c r="S99" i="2"/>
  <c r="S98" i="2"/>
  <c r="S97" i="2"/>
  <c r="S96" i="2"/>
  <c r="S95" i="2"/>
  <c r="S94" i="2"/>
  <c r="S93" i="2"/>
  <c r="S92" i="2"/>
  <c r="S91" i="2"/>
  <c r="S90" i="2"/>
  <c r="S89" i="2"/>
  <c r="S88" i="2"/>
  <c r="S87" i="2"/>
  <c r="S86" i="2"/>
  <c r="S85" i="2"/>
  <c r="S84" i="2"/>
  <c r="S83" i="2"/>
  <c r="S82" i="2"/>
  <c r="S81" i="2"/>
  <c r="S80" i="2"/>
  <c r="S79" i="2"/>
  <c r="S78" i="2"/>
  <c r="S77" i="2"/>
  <c r="S76" i="2"/>
  <c r="S75" i="2"/>
  <c r="S74" i="2"/>
  <c r="S73" i="2"/>
  <c r="S72" i="2"/>
  <c r="S71" i="2"/>
  <c r="S70" i="2"/>
  <c r="S69" i="2"/>
  <c r="S68" i="2"/>
  <c r="S67" i="2"/>
  <c r="S66" i="2"/>
  <c r="S65" i="2"/>
  <c r="S64" i="2"/>
  <c r="S63" i="2"/>
  <c r="S62" i="2"/>
  <c r="S61" i="2"/>
  <c r="S60" i="2"/>
  <c r="S59" i="2"/>
  <c r="S58" i="2"/>
  <c r="S57" i="2"/>
  <c r="S56" i="2"/>
  <c r="S55" i="2"/>
  <c r="S54" i="2"/>
  <c r="S53" i="2"/>
  <c r="S52" i="2"/>
  <c r="S51" i="2"/>
  <c r="S50" i="2"/>
  <c r="S49" i="2"/>
  <c r="S48" i="2"/>
  <c r="S47" i="2"/>
  <c r="S46" i="2"/>
  <c r="S45" i="2"/>
  <c r="S44" i="2"/>
  <c r="S43" i="2"/>
  <c r="S42" i="2"/>
  <c r="S41" i="2"/>
  <c r="S40" i="2"/>
  <c r="S39" i="2"/>
  <c r="S38" i="2"/>
  <c r="S37" i="2"/>
  <c r="S36" i="2"/>
  <c r="S35" i="2"/>
  <c r="S34" i="2"/>
  <c r="S33" i="2"/>
  <c r="S32" i="2"/>
  <c r="S31" i="2"/>
  <c r="S30" i="2"/>
  <c r="S29" i="2"/>
  <c r="S28" i="2"/>
  <c r="S27" i="2"/>
  <c r="S26" i="2"/>
  <c r="S25" i="2"/>
  <c r="S24" i="2"/>
  <c r="S23" i="2"/>
  <c r="S22" i="2"/>
  <c r="S21" i="2"/>
  <c r="S20" i="2"/>
  <c r="S19" i="2"/>
  <c r="S18" i="2"/>
  <c r="S17" i="2"/>
  <c r="S16" i="2"/>
  <c r="S15" i="2"/>
  <c r="S14" i="2"/>
  <c r="S13" i="2"/>
  <c r="S12" i="2"/>
  <c r="S11" i="2"/>
  <c r="S10" i="2"/>
  <c r="S9" i="2"/>
  <c r="S8" i="2"/>
  <c r="S7" i="2"/>
  <c r="S6" i="2"/>
  <c r="S5" i="2"/>
  <c r="S4" i="2"/>
  <c r="S3" i="2"/>
  <c r="S2" i="2"/>
  <c r="G6" i="3" s="1"/>
  <c r="H7" i="1"/>
  <c r="E7" i="1"/>
  <c r="B7" i="1"/>
  <c r="H6" i="3" l="1"/>
  <c r="G5" i="3"/>
  <c r="H5" i="3"/>
  <c r="G4" i="3"/>
  <c r="H4" i="3"/>
  <c r="H8" i="3"/>
  <c r="G7" i="3"/>
  <c r="G8" i="3"/>
  <c r="H7" i="3"/>
</calcChain>
</file>

<file path=xl/sharedStrings.xml><?xml version="1.0" encoding="utf-8"?>
<sst xmlns="http://schemas.openxmlformats.org/spreadsheetml/2006/main" count="8544" uniqueCount="351">
  <si>
    <t>Comportamiento de las Personas en su Día de Cumpleaños</t>
  </si>
  <si>
    <t>Panel analítico · Base de datos Costa Rica · 600 perfiles · hábitos de gasto, canal de pago y preferencias por cumpleaños</t>
  </si>
  <si>
    <t>PERFILES ANALIZADOS</t>
  </si>
  <si>
    <t>EDAD PROMEDIO</t>
  </si>
  <si>
    <t>GASTO PROMEDIO (₡)</t>
  </si>
  <si>
    <t>MES CON MÁS CUMPLEAÑOS</t>
  </si>
  <si>
    <t>ID</t>
  </si>
  <si>
    <t>Nombre</t>
  </si>
  <si>
    <t>Primer Apellido</t>
  </si>
  <si>
    <t>Segundo Apellido</t>
  </si>
  <si>
    <t>Género</t>
  </si>
  <si>
    <t>Edad</t>
  </si>
  <si>
    <t>Mes de Cumpleaños</t>
  </si>
  <si>
    <t>Día de Cumpleaños</t>
  </si>
  <si>
    <t>Signo Zodiacal</t>
  </si>
  <si>
    <t>Provincia</t>
  </si>
  <si>
    <t>Cantón</t>
  </si>
  <si>
    <t>Conducta de Gasto</t>
  </si>
  <si>
    <t>Monto Promedio de Compra (₡)</t>
  </si>
  <si>
    <t>Frecuencia de Compra</t>
  </si>
  <si>
    <t>Momento del Día Preferido</t>
  </si>
  <si>
    <t>Categoría de Preferencia</t>
  </si>
  <si>
    <t>Marca Preferida</t>
  </si>
  <si>
    <t>Método de Pago Preferido</t>
  </si>
  <si>
    <t>Grupo Edad</t>
  </si>
  <si>
    <t>Ana</t>
  </si>
  <si>
    <t>Blanco</t>
  </si>
  <si>
    <t>Zúñiga</t>
  </si>
  <si>
    <t>Femenino</t>
  </si>
  <si>
    <t>Abril</t>
  </si>
  <si>
    <t>Aries</t>
  </si>
  <si>
    <t>Alajuela</t>
  </si>
  <si>
    <t>Sarchí</t>
  </si>
  <si>
    <t>Ahorrador</t>
  </si>
  <si>
    <t>Semanal</t>
  </si>
  <si>
    <t>Mañana</t>
  </si>
  <si>
    <t>Educación</t>
  </si>
  <si>
    <t>UCR</t>
  </si>
  <si>
    <t>Tarjeta de débito</t>
  </si>
  <si>
    <t>Yolanda</t>
  </si>
  <si>
    <t>Duarte</t>
  </si>
  <si>
    <t>González</t>
  </si>
  <si>
    <t>Septiembre</t>
  </si>
  <si>
    <t>Virgo</t>
  </si>
  <si>
    <t>Puntarenas</t>
  </si>
  <si>
    <t>Garabito</t>
  </si>
  <si>
    <t>Gastador en ocasiones especiales</t>
  </si>
  <si>
    <t>Mensual</t>
  </si>
  <si>
    <t>Udemy</t>
  </si>
  <si>
    <t>Gerardo</t>
  </si>
  <si>
    <t>Sánchez</t>
  </si>
  <si>
    <t>Masculino</t>
  </si>
  <si>
    <t>Tauro</t>
  </si>
  <si>
    <t>Cartago</t>
  </si>
  <si>
    <t>Paraíso</t>
  </si>
  <si>
    <t>Planificador</t>
  </si>
  <si>
    <t>Diaria</t>
  </si>
  <si>
    <t>Tarde</t>
  </si>
  <si>
    <t>Entretenimiento/streaming</t>
  </si>
  <si>
    <t>Netflix</t>
  </si>
  <si>
    <t>Tarjeta de crédito</t>
  </si>
  <si>
    <t>Freddy</t>
  </si>
  <si>
    <t>Solano</t>
  </si>
  <si>
    <t>Cruz</t>
  </si>
  <si>
    <t>Febrero</t>
  </si>
  <si>
    <t>Acuario</t>
  </si>
  <si>
    <t>Alvarado</t>
  </si>
  <si>
    <t>Gastador impulsivo</t>
  </si>
  <si>
    <t>Viajes</t>
  </si>
  <si>
    <t>Avianca</t>
  </si>
  <si>
    <t>Carolina</t>
  </si>
  <si>
    <t>Elizondo</t>
  </si>
  <si>
    <t>Noviembre</t>
  </si>
  <si>
    <t>Sagitario</t>
  </si>
  <si>
    <t>La Unión</t>
  </si>
  <si>
    <t>Noche</t>
  </si>
  <si>
    <t>Deportes y fitness</t>
  </si>
  <si>
    <t>Adidas</t>
  </si>
  <si>
    <t>Fiorella</t>
  </si>
  <si>
    <t>Mayo</t>
  </si>
  <si>
    <t>Géminis</t>
  </si>
  <si>
    <t>Parrita</t>
  </si>
  <si>
    <t>Nike</t>
  </si>
  <si>
    <t>SINPE Móvil</t>
  </si>
  <si>
    <t>Yendry</t>
  </si>
  <si>
    <t>Obando</t>
  </si>
  <si>
    <t>Monge</t>
  </si>
  <si>
    <t>Junio</t>
  </si>
  <si>
    <t>Coto Brus</t>
  </si>
  <si>
    <t>Hogar y decoración</t>
  </si>
  <si>
    <t>Gollo</t>
  </si>
  <si>
    <t>Eddy</t>
  </si>
  <si>
    <t>Gómez</t>
  </si>
  <si>
    <t>Barrantes</t>
  </si>
  <si>
    <t>Guanacaste</t>
  </si>
  <si>
    <t>Tilarán</t>
  </si>
  <si>
    <t>Ocasional</t>
  </si>
  <si>
    <t>Tecnología</t>
  </si>
  <si>
    <t>Samsung</t>
  </si>
  <si>
    <t>Rodrigo</t>
  </si>
  <si>
    <t>Liberia</t>
  </si>
  <si>
    <t>Moda y ropa</t>
  </si>
  <si>
    <t>Aldo</t>
  </si>
  <si>
    <t>Efectivo</t>
  </si>
  <si>
    <t>Ivannia</t>
  </si>
  <si>
    <t>Rodríguez</t>
  </si>
  <si>
    <t>Acuña</t>
  </si>
  <si>
    <t>Diciembre</t>
  </si>
  <si>
    <t>Santa Cruz</t>
  </si>
  <si>
    <t>Fernando</t>
  </si>
  <si>
    <t>Loría</t>
  </si>
  <si>
    <t>Delgado</t>
  </si>
  <si>
    <t>Libra</t>
  </si>
  <si>
    <t>San José</t>
  </si>
  <si>
    <t>Vázquez de Coronado</t>
  </si>
  <si>
    <t>Quincenal</t>
  </si>
  <si>
    <t>Marcela</t>
  </si>
  <si>
    <t>Ureña</t>
  </si>
  <si>
    <t>Piscis</t>
  </si>
  <si>
    <t>Jumbo</t>
  </si>
  <si>
    <t>Tatiana</t>
  </si>
  <si>
    <t>Pérez</t>
  </si>
  <si>
    <t>Escorpio</t>
  </si>
  <si>
    <t>Heredia</t>
  </si>
  <si>
    <t>San Pablo</t>
  </si>
  <si>
    <t>H&amp;M</t>
  </si>
  <si>
    <t>PayPal</t>
  </si>
  <si>
    <t>Meyling</t>
  </si>
  <si>
    <t>Fernández</t>
  </si>
  <si>
    <t>Zara</t>
  </si>
  <si>
    <t>Mario</t>
  </si>
  <si>
    <t>Chacón</t>
  </si>
  <si>
    <t>Capricornio</t>
  </si>
  <si>
    <t>La Cruz</t>
  </si>
  <si>
    <t>Despegar</t>
  </si>
  <si>
    <t>Emanuel</t>
  </si>
  <si>
    <t>Umaña</t>
  </si>
  <si>
    <t>Kattia</t>
  </si>
  <si>
    <t>Campos</t>
  </si>
  <si>
    <t>Julio</t>
  </si>
  <si>
    <t>Cáncer</t>
  </si>
  <si>
    <t>El Guarco</t>
  </si>
  <si>
    <t>Navarro</t>
  </si>
  <si>
    <t>Salazar</t>
  </si>
  <si>
    <t>Marzo</t>
  </si>
  <si>
    <t>Flores</t>
  </si>
  <si>
    <t>Serrano</t>
  </si>
  <si>
    <t>Booking.com</t>
  </si>
  <si>
    <t>Natalia</t>
  </si>
  <si>
    <t>Mora</t>
  </si>
  <si>
    <t>Octubre</t>
  </si>
  <si>
    <t>Nandayure</t>
  </si>
  <si>
    <t>Motorola</t>
  </si>
  <si>
    <t>Jennifer</t>
  </si>
  <si>
    <t>Chaves</t>
  </si>
  <si>
    <t>Ekono</t>
  </si>
  <si>
    <t>Silvia</t>
  </si>
  <si>
    <t>Araya</t>
  </si>
  <si>
    <t>Guatuso</t>
  </si>
  <si>
    <t>Roxana</t>
  </si>
  <si>
    <t>Cordero</t>
  </si>
  <si>
    <t>UNED</t>
  </si>
  <si>
    <t>Yorleny</t>
  </si>
  <si>
    <t>Brenes</t>
  </si>
  <si>
    <t>Limón</t>
  </si>
  <si>
    <t>Disney+</t>
  </si>
  <si>
    <t>Marjorie</t>
  </si>
  <si>
    <t>Mesén</t>
  </si>
  <si>
    <t>Puriscal</t>
  </si>
  <si>
    <t>Comida y restaurantes</t>
  </si>
  <si>
    <t>Automercado</t>
  </si>
  <si>
    <t>Manuel</t>
  </si>
  <si>
    <t>Vargas</t>
  </si>
  <si>
    <t>Volaris</t>
  </si>
  <si>
    <t>Grettel</t>
  </si>
  <si>
    <t>Ramírez</t>
  </si>
  <si>
    <t>Spotify</t>
  </si>
  <si>
    <t>Melissa</t>
  </si>
  <si>
    <t>Villalobos</t>
  </si>
  <si>
    <t>Pococí</t>
  </si>
  <si>
    <t>Apple</t>
  </si>
  <si>
    <t>Fallas</t>
  </si>
  <si>
    <t>San Carlos</t>
  </si>
  <si>
    <t>Castro</t>
  </si>
  <si>
    <t>Golfito</t>
  </si>
  <si>
    <t>ULACIT</t>
  </si>
  <si>
    <t>Maikol</t>
  </si>
  <si>
    <t>Quesada</t>
  </si>
  <si>
    <t>Turrialba</t>
  </si>
  <si>
    <t>Vega</t>
  </si>
  <si>
    <t>Carrillo</t>
  </si>
  <si>
    <t>Randall</t>
  </si>
  <si>
    <t>McDonald's</t>
  </si>
  <si>
    <t>Roberto</t>
  </si>
  <si>
    <t>Enero</t>
  </si>
  <si>
    <t>Poás</t>
  </si>
  <si>
    <t>Cristian</t>
  </si>
  <si>
    <t>Diana</t>
  </si>
  <si>
    <t>Agosto</t>
  </si>
  <si>
    <t>Leo</t>
  </si>
  <si>
    <t>Smart Fit</t>
  </si>
  <si>
    <t>Mayela</t>
  </si>
  <si>
    <t>Osa</t>
  </si>
  <si>
    <t>Óscar</t>
  </si>
  <si>
    <t>Hernández</t>
  </si>
  <si>
    <t>Palmares</t>
  </si>
  <si>
    <t>Moderado</t>
  </si>
  <si>
    <t>Rappi</t>
  </si>
  <si>
    <t>Carlos</t>
  </si>
  <si>
    <t>Matina</t>
  </si>
  <si>
    <t>Bagaces</t>
  </si>
  <si>
    <t>Guzmán</t>
  </si>
  <si>
    <t>Sarapiquí</t>
  </si>
  <si>
    <t>Oreamuno</t>
  </si>
  <si>
    <t>Viviana</t>
  </si>
  <si>
    <t>Ovares</t>
  </si>
  <si>
    <t>Diego</t>
  </si>
  <si>
    <t>Videojuegos</t>
  </si>
  <si>
    <t>Riot Games</t>
  </si>
  <si>
    <t>Montes de Oro</t>
  </si>
  <si>
    <t>Xbox</t>
  </si>
  <si>
    <t>Segura</t>
  </si>
  <si>
    <t>HBO Max</t>
  </si>
  <si>
    <t>Ricardo</t>
  </si>
  <si>
    <t>Sequeira</t>
  </si>
  <si>
    <t>Sherwin Williams</t>
  </si>
  <si>
    <t>Vanessa</t>
  </si>
  <si>
    <t>Hojancha</t>
  </si>
  <si>
    <t>Jorge</t>
  </si>
  <si>
    <t>Minor</t>
  </si>
  <si>
    <t>Belleza y cuidado personal</t>
  </si>
  <si>
    <t>Yanbal</t>
  </si>
  <si>
    <t>Corredores</t>
  </si>
  <si>
    <t>Nintendo</t>
  </si>
  <si>
    <t>Coursera</t>
  </si>
  <si>
    <t>Warner</t>
  </si>
  <si>
    <t>Montero</t>
  </si>
  <si>
    <t>Santa Ana</t>
  </si>
  <si>
    <t>Andrea</t>
  </si>
  <si>
    <t>Moravia</t>
  </si>
  <si>
    <t>Uber Eats</t>
  </si>
  <si>
    <t>Josué</t>
  </si>
  <si>
    <t>Kenneth</t>
  </si>
  <si>
    <t>Huawei</t>
  </si>
  <si>
    <t>Carvajal</t>
  </si>
  <si>
    <t>Barva</t>
  </si>
  <si>
    <t>Sergio</t>
  </si>
  <si>
    <t>Adrián</t>
  </si>
  <si>
    <t>EPA</t>
  </si>
  <si>
    <t>Marín</t>
  </si>
  <si>
    <t>Natura</t>
  </si>
  <si>
    <t>MAC</t>
  </si>
  <si>
    <t>Los Chiles</t>
  </si>
  <si>
    <t>Talamanca</t>
  </si>
  <si>
    <t>Luis</t>
  </si>
  <si>
    <t>Esparza</t>
  </si>
  <si>
    <t>Priscilla</t>
  </si>
  <si>
    <t>Orotina</t>
  </si>
  <si>
    <t>Rocío</t>
  </si>
  <si>
    <t>L'Oréal</t>
  </si>
  <si>
    <t>Bermúdez</t>
  </si>
  <si>
    <t>Santo Domingo</t>
  </si>
  <si>
    <t>San Isidro</t>
  </si>
  <si>
    <t>Juan</t>
  </si>
  <si>
    <t>Laura</t>
  </si>
  <si>
    <t>Walmart</t>
  </si>
  <si>
    <t>Esteban</t>
  </si>
  <si>
    <t>Ryanair</t>
  </si>
  <si>
    <t>Nicoya</t>
  </si>
  <si>
    <t>Alonso</t>
  </si>
  <si>
    <t>Guácimo</t>
  </si>
  <si>
    <t>Abangares</t>
  </si>
  <si>
    <t>Puma</t>
  </si>
  <si>
    <t>Rojas</t>
  </si>
  <si>
    <t>Marco</t>
  </si>
  <si>
    <t>Seidy</t>
  </si>
  <si>
    <t>Atenas</t>
  </si>
  <si>
    <t>Karen</t>
  </si>
  <si>
    <t>Xiaomi</t>
  </si>
  <si>
    <t>Gustavo</t>
  </si>
  <si>
    <t>Jiménez</t>
  </si>
  <si>
    <t>Tarrazú</t>
  </si>
  <si>
    <t>Norman</t>
  </si>
  <si>
    <t>Curridabat</t>
  </si>
  <si>
    <t>Siquirres</t>
  </si>
  <si>
    <t>Miguel</t>
  </si>
  <si>
    <t>Santa Bárbara</t>
  </si>
  <si>
    <t>Paola</t>
  </si>
  <si>
    <t>Daniel</t>
  </si>
  <si>
    <t>Vinicio</t>
  </si>
  <si>
    <t>Alajuelita</t>
  </si>
  <si>
    <t>Kevin</t>
  </si>
  <si>
    <t>Goicoechea</t>
  </si>
  <si>
    <t>Buenos Aires</t>
  </si>
  <si>
    <t>Quepos</t>
  </si>
  <si>
    <t>Pablo</t>
  </si>
  <si>
    <t>Sofía</t>
  </si>
  <si>
    <t>Dayana</t>
  </si>
  <si>
    <t>Avon</t>
  </si>
  <si>
    <t>Zarcero</t>
  </si>
  <si>
    <t>Yesenia</t>
  </si>
  <si>
    <t>Naranjo</t>
  </si>
  <si>
    <t>Shirley</t>
  </si>
  <si>
    <t>PlayStation</t>
  </si>
  <si>
    <t>Rafael</t>
  </si>
  <si>
    <t>Under Armour</t>
  </si>
  <si>
    <t>Cañas</t>
  </si>
  <si>
    <t>Gabriela</t>
  </si>
  <si>
    <t>YouTube Premium</t>
  </si>
  <si>
    <t>Guiselle</t>
  </si>
  <si>
    <t>Tibás</t>
  </si>
  <si>
    <t>Upala</t>
  </si>
  <si>
    <t>San Mateo</t>
  </si>
  <si>
    <t>Montes de Oca</t>
  </si>
  <si>
    <t>Wendy</t>
  </si>
  <si>
    <t>Desamparados</t>
  </si>
  <si>
    <t>Xinia</t>
  </si>
  <si>
    <t>María</t>
  </si>
  <si>
    <t>Andrés</t>
  </si>
  <si>
    <t>Katherine</t>
  </si>
  <si>
    <t>Belén</t>
  </si>
  <si>
    <t>San Ramón</t>
  </si>
  <si>
    <t>Adriana</t>
  </si>
  <si>
    <t>Pérez Zeledón</t>
  </si>
  <si>
    <t>José</t>
  </si>
  <si>
    <t>Escazú</t>
  </si>
  <si>
    <t>Steam</t>
  </si>
  <si>
    <t>San Rafael</t>
  </si>
  <si>
    <t>Iván</t>
  </si>
  <si>
    <t>Alejandro</t>
  </si>
  <si>
    <t>Aserrí</t>
  </si>
  <si>
    <t>Grecia</t>
  </si>
  <si>
    <t>1. Nacimientos por mes</t>
  </si>
  <si>
    <t>2. Grupo de edad</t>
  </si>
  <si>
    <t>3. Provincia</t>
  </si>
  <si>
    <t>Categoría</t>
  </si>
  <si>
    <t>Cantidad</t>
  </si>
  <si>
    <t>Gasto Prom. (₡)</t>
  </si>
  <si>
    <t>18-24</t>
  </si>
  <si>
    <t>25-34</t>
  </si>
  <si>
    <t>35-44</t>
  </si>
  <si>
    <t>45-54</t>
  </si>
  <si>
    <t>55-65</t>
  </si>
  <si>
    <t>4. Conducta de gasto</t>
  </si>
  <si>
    <t>5. Frecuencia de compra</t>
  </si>
  <si>
    <t>6. Momento del día preferido</t>
  </si>
  <si>
    <t>7. Categoría de preferencia</t>
  </si>
  <si>
    <t>8. Top 12 marcas preferidas</t>
  </si>
  <si>
    <t>9. Método de pago</t>
  </si>
  <si>
    <t>10. Signo zodiacal</t>
  </si>
  <si>
    <t>11. Género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</si>
</sst>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&quot; años&quot;"/>
    <numFmt numFmtId="165" formatCode="\₡#,##0"/>
  </numFmts>
  <fonts count="11" x14ac:knownFonts="1">
    <font>
      <sz val="11"/>
      <color theme="1"/>
      <name val="Calibri"/>
      <family val="2"/>
      <charset val="1"/>
    </font>
    <font>
      <b/>
      <sz val="20"/>
      <color rgb="FFFFFFFF"/>
      <name val="Arial"/>
      <charset val="1"/>
    </font>
    <font>
      <i/>
      <sz val="10.5"/>
      <color rgb="FF8FA6B3"/>
      <name val="Arial"/>
      <charset val="1"/>
    </font>
    <font>
      <sz val="9"/>
      <color rgb="FF8FA6B3"/>
      <name val="Arial"/>
      <charset val="1"/>
    </font>
    <font>
      <b/>
      <sz val="16"/>
      <color rgb="FFFF6B4A"/>
      <name val="Arial"/>
      <charset val="1"/>
    </font>
    <font>
      <b/>
      <sz val="16"/>
      <color rgb="FFF2B705"/>
      <name val="Arial"/>
      <charset val="1"/>
    </font>
    <font>
      <b/>
      <sz val="16"/>
      <color rgb="FF35B8B1"/>
      <name val="Arial"/>
      <charset val="1"/>
    </font>
    <font>
      <b/>
      <sz val="16"/>
      <color rgb="FF9B8CFF"/>
      <name val="Arial"/>
      <charset val="1"/>
    </font>
    <font>
      <b/>
      <sz val="10.5"/>
      <color rgb="FFFFFFFF"/>
      <name val="Arial"/>
      <charset val="1"/>
    </font>
    <font>
      <b/>
      <sz val="13"/>
      <color rgb="FF16303C"/>
      <name val="Arial"/>
      <charset val="1"/>
    </font>
    <font>
      <sz val="10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FF0F2029"/>
        <bgColor rgb="FF16303C"/>
      </patternFill>
    </fill>
    <fill>
      <patternFill patternType="solid">
        <fgColor rgb="FF16303C"/>
        <bgColor rgb="FF1C3B49"/>
      </patternFill>
    </fill>
    <fill>
      <patternFill patternType="solid">
        <fgColor rgb="FF1C3B49"/>
        <bgColor rgb="FF16303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7" fillId="4" borderId="0" xfId="0" applyNumberFormat="1" applyFont="1" applyFill="1" applyBorder="1" applyAlignment="1">
      <alignment horizontal="left" vertical="center" indent="1"/>
    </xf>
    <xf numFmtId="165" fontId="6" fillId="4" borderId="0" xfId="0" applyNumberFormat="1" applyFont="1" applyFill="1" applyBorder="1" applyAlignment="1">
      <alignment horizontal="left" vertical="center" indent="1"/>
    </xf>
    <xf numFmtId="164" fontId="5" fillId="4" borderId="0" xfId="0" applyNumberFormat="1" applyFont="1" applyFill="1" applyBorder="1" applyAlignment="1">
      <alignment horizontal="left" vertical="center" indent="1"/>
    </xf>
    <xf numFmtId="3" fontId="4" fillId="4" borderId="0" xfId="0" applyNumberFormat="1" applyFont="1" applyFill="1" applyBorder="1" applyAlignment="1">
      <alignment horizontal="left" vertical="center" indent="1"/>
    </xf>
    <xf numFmtId="0" fontId="3" fillId="4" borderId="0" xfId="0" applyFont="1" applyFill="1" applyBorder="1" applyAlignment="1">
      <alignment horizontal="left" vertical="center" indent="1"/>
    </xf>
    <xf numFmtId="0" fontId="2" fillId="2" borderId="0" xfId="0" applyFont="1" applyFill="1" applyBorder="1"/>
    <xf numFmtId="0" fontId="1" fillId="3" borderId="0" xfId="0" applyFont="1" applyFill="1" applyBorder="1" applyAlignment="1">
      <alignment vertical="center"/>
    </xf>
    <xf numFmtId="0" fontId="0" fillId="2" borderId="0" xfId="0" applyFill="1"/>
    <xf numFmtId="0" fontId="0" fillId="3" borderId="0" xfId="0" applyFill="1"/>
    <xf numFmtId="0" fontId="8" fillId="3" borderId="0" xfId="0" applyFont="1" applyFill="1" applyAlignment="1">
      <alignment horizontal="center" vertical="center" wrapText="1"/>
    </xf>
    <xf numFmtId="0" fontId="9" fillId="0" borderId="0" xfId="0" applyFont="1"/>
    <xf numFmtId="0" fontId="8" fillId="3" borderId="0" xfId="0" applyFont="1" applyFill="1" applyAlignment="1">
      <alignment horizontal="center" vertical="center"/>
    </xf>
    <xf numFmtId="0" fontId="10" fillId="0" borderId="0" xfId="0" applyFont="1"/>
    <xf numFmtId="0" fontId="10" fillId="0" borderId="0" xfId="0" applyFont="1" applyAlignment="1">
      <alignment horizontal="center"/>
    </xf>
    <xf numFmtId="3" fontId="10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B8CFF"/>
      <rgbColor rgb="FF993366"/>
      <rgbColor rgb="FFF9F9F9"/>
      <rgbColor rgb="FFCCFFFF"/>
      <rgbColor rgb="FF660066"/>
      <rgbColor rgb="FFFF6B4A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5EA8E0"/>
      <rgbColor rgb="FFFF99CC"/>
      <rgbColor rgb="FFCC99FF"/>
      <rgbColor rgb="FFFFCC99"/>
      <rgbColor rgb="FF3366FF"/>
      <rgbColor rgb="FF35B8B1"/>
      <rgbColor rgb="FF99CC00"/>
      <rgbColor rgb="FFF2B705"/>
      <rgbColor rgb="FFFF9900"/>
      <rgbColor rgb="FFFF6600"/>
      <rgbColor rgb="FF4F81BD"/>
      <rgbColor rgb="FF8FA6B3"/>
      <rgbColor rgb="FF16303C"/>
      <rgbColor rgb="FF339966"/>
      <rgbColor rgb="FF0F2029"/>
      <rgbColor rgb="FF333300"/>
      <rgbColor rgb="FF993300"/>
      <rgbColor rgb="FF993366"/>
      <rgbColor rgb="FF333399"/>
      <rgbColor rgb="FF1C3B49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s-ES" sz="1800" b="1" strike="noStrike" spc="-1">
                <a:solidFill>
                  <a:srgbClr val="000000"/>
                </a:solidFill>
                <a:latin typeface="Calibri"/>
              </a:rPr>
              <a:t>Nacimientos por mes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Resumen!$C$3</c:f>
              <c:strCache>
                <c:ptCount val="1"/>
                <c:pt idx="0">
                  <c:v>Cantidad</c:v>
                </c:pt>
              </c:strCache>
            </c:strRef>
          </c:tx>
          <c:spPr>
            <a:solidFill>
              <a:srgbClr val="FF6B4A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Resumen!$B$4:$B$15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Resumen!$C$4:$C$15</c:f>
              <c:numCache>
                <c:formatCode>General</c:formatCode>
                <c:ptCount val="12"/>
                <c:pt idx="0">
                  <c:v>45</c:v>
                </c:pt>
                <c:pt idx="1">
                  <c:v>49</c:v>
                </c:pt>
                <c:pt idx="2">
                  <c:v>37</c:v>
                </c:pt>
                <c:pt idx="3">
                  <c:v>37</c:v>
                </c:pt>
                <c:pt idx="4">
                  <c:v>55</c:v>
                </c:pt>
                <c:pt idx="5">
                  <c:v>56</c:v>
                </c:pt>
                <c:pt idx="6">
                  <c:v>42</c:v>
                </c:pt>
                <c:pt idx="7">
                  <c:v>59</c:v>
                </c:pt>
                <c:pt idx="8">
                  <c:v>51</c:v>
                </c:pt>
                <c:pt idx="9">
                  <c:v>51</c:v>
                </c:pt>
                <c:pt idx="10">
                  <c:v>60</c:v>
                </c:pt>
                <c:pt idx="11">
                  <c:v>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7D-4D85-8E7F-0BBBE5888F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6001413"/>
        <c:axId val="25301683"/>
      </c:barChart>
      <c:catAx>
        <c:axId val="8600141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25301683"/>
        <c:crosses val="autoZero"/>
        <c:auto val="1"/>
        <c:lblAlgn val="ctr"/>
        <c:lblOffset val="100"/>
        <c:noMultiLvlLbl val="0"/>
      </c:catAx>
      <c:valAx>
        <c:axId val="2530168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8600141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s-ES" sz="1800" b="1" strike="noStrike" spc="-1">
                <a:solidFill>
                  <a:srgbClr val="000000"/>
                </a:solidFill>
                <a:latin typeface="Calibri"/>
              </a:rPr>
              <a:t>Cantidad y gasto promedio por edad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Resumen!$G$3</c:f>
              <c:strCache>
                <c:ptCount val="1"/>
                <c:pt idx="0">
                  <c:v>Cantidad</c:v>
                </c:pt>
              </c:strCache>
            </c:strRef>
          </c:tx>
          <c:spPr>
            <a:solidFill>
              <a:srgbClr val="35B8B1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Resumen!$F$4:$F$8</c:f>
              <c:strCache>
                <c:ptCount val="5"/>
                <c:pt idx="0">
                  <c:v>18-24</c:v>
                </c:pt>
                <c:pt idx="1">
                  <c:v>25-34</c:v>
                </c:pt>
                <c:pt idx="2">
                  <c:v>35-44</c:v>
                </c:pt>
                <c:pt idx="3">
                  <c:v>45-54</c:v>
                </c:pt>
                <c:pt idx="4">
                  <c:v>55-65</c:v>
                </c:pt>
              </c:strCache>
            </c:strRef>
          </c:cat>
          <c:val>
            <c:numRef>
              <c:f>Resumen!$G$4:$G$8</c:f>
              <c:numCache>
                <c:formatCode>General</c:formatCode>
                <c:ptCount val="5"/>
                <c:pt idx="0">
                  <c:v>70</c:v>
                </c:pt>
                <c:pt idx="1">
                  <c:v>120</c:v>
                </c:pt>
                <c:pt idx="2">
                  <c:v>137</c:v>
                </c:pt>
                <c:pt idx="3">
                  <c:v>122</c:v>
                </c:pt>
                <c:pt idx="4">
                  <c:v>151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EE-4655-ADAA-5790A350CA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7329573"/>
        <c:axId val="86916884"/>
      </c:barChart>
      <c:lineChart>
        <c:grouping val="standard"/>
        <c:varyColors val="0"/>
        <c:ser>
          <c:idx val="1"/>
          <c:order val="1"/>
          <c:tx>
            <c:strRef>
              <c:f>Resumen!$H$3</c:f>
              <c:strCache>
                <c:ptCount val="1"/>
                <c:pt idx="0">
                  <c:v>Gasto Prom. (₡)</c:v>
                </c:pt>
              </c:strCache>
            </c:strRef>
          </c:tx>
          <c:spPr>
            <a:ln w="21960">
              <a:solidFill>
                <a:srgbClr val="FF6B4A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Resumen!$F$4:$F$8</c:f>
              <c:strCache>
                <c:ptCount val="5"/>
                <c:pt idx="0">
                  <c:v>18-24</c:v>
                </c:pt>
                <c:pt idx="1">
                  <c:v>25-34</c:v>
                </c:pt>
                <c:pt idx="2">
                  <c:v>35-44</c:v>
                </c:pt>
                <c:pt idx="3">
                  <c:v>45-54</c:v>
                </c:pt>
                <c:pt idx="4">
                  <c:v>55-65</c:v>
                </c:pt>
              </c:strCache>
            </c:strRef>
          </c:cat>
          <c:val>
            <c:numRef>
              <c:f>Resumen!$H$4:$H$8</c:f>
              <c:numCache>
                <c:formatCode>#,##0</c:formatCode>
                <c:ptCount val="5"/>
                <c:pt idx="0">
                  <c:v>159406.65714285715</c:v>
                </c:pt>
                <c:pt idx="1">
                  <c:v>173849.31666666668</c:v>
                </c:pt>
                <c:pt idx="2">
                  <c:v>168954.58394160584</c:v>
                </c:pt>
                <c:pt idx="3">
                  <c:v>183341.78688524591</c:v>
                </c:pt>
                <c:pt idx="4">
                  <c:v>177767.59602649006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8EE-4655-ADAA-5790A350CA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42098002"/>
        <c:axId val="17058831"/>
      </c:lineChart>
      <c:catAx>
        <c:axId val="5732957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86916884"/>
        <c:crosses val="autoZero"/>
        <c:auto val="1"/>
        <c:lblAlgn val="ctr"/>
        <c:lblOffset val="100"/>
        <c:noMultiLvlLbl val="0"/>
      </c:catAx>
      <c:valAx>
        <c:axId val="8691688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s-ES" sz="1000" b="1" strike="noStrike" spc="-1">
                    <a:solidFill>
                      <a:srgbClr val="000000"/>
                    </a:solidFill>
                    <a:latin typeface="Calibri"/>
                  </a:rPr>
                  <a:t>Personas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57329573"/>
        <c:crosses val="autoZero"/>
        <c:crossBetween val="between"/>
      </c:valAx>
      <c:catAx>
        <c:axId val="4209800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17058831"/>
        <c:crosses val="autoZero"/>
        <c:auto val="1"/>
        <c:lblAlgn val="ctr"/>
        <c:lblOffset val="100"/>
        <c:noMultiLvlLbl val="0"/>
      </c:catAx>
      <c:valAx>
        <c:axId val="17058831"/>
        <c:scaling>
          <c:orientation val="minMax"/>
        </c:scaling>
        <c:delete val="0"/>
        <c:axPos val="r"/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s-ES" sz="1000" b="1" strike="noStrike" spc="-1">
                    <a:solidFill>
                      <a:srgbClr val="000000"/>
                    </a:solidFill>
                    <a:latin typeface="Calibri"/>
                  </a:rPr>
                  <a:t>Gasto promedio (₡)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42098002"/>
        <c:crosses val="max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s-E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s-ES" sz="1800" b="1" strike="noStrike" spc="-1">
                <a:solidFill>
                  <a:srgbClr val="000000"/>
                </a:solidFill>
                <a:latin typeface="Calibri"/>
              </a:rPr>
              <a:t>Distribución por provincia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Resumen!$K$3</c:f>
              <c:strCache>
                <c:ptCount val="1"/>
                <c:pt idx="0">
                  <c:v>Cantidad</c:v>
                </c:pt>
              </c:strCache>
            </c:strRef>
          </c:tx>
          <c:spPr>
            <a:solidFill>
              <a:srgbClr val="35B8B1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Resumen!$J$4:$J$10</c:f>
              <c:strCache>
                <c:ptCount val="7"/>
                <c:pt idx="0">
                  <c:v>Alajuela</c:v>
                </c:pt>
                <c:pt idx="1">
                  <c:v>Cartago</c:v>
                </c:pt>
                <c:pt idx="2">
                  <c:v>Guanacaste</c:v>
                </c:pt>
                <c:pt idx="3">
                  <c:v>Heredia</c:v>
                </c:pt>
                <c:pt idx="4">
                  <c:v>Limón</c:v>
                </c:pt>
                <c:pt idx="5">
                  <c:v>Puntarenas</c:v>
                </c:pt>
                <c:pt idx="6">
                  <c:v>San José</c:v>
                </c:pt>
              </c:strCache>
            </c:strRef>
          </c:cat>
          <c:val>
            <c:numRef>
              <c:f>Resumen!$K$4:$K$10</c:f>
              <c:numCache>
                <c:formatCode>General</c:formatCode>
                <c:ptCount val="7"/>
                <c:pt idx="0">
                  <c:v>80</c:v>
                </c:pt>
                <c:pt idx="1">
                  <c:v>77</c:v>
                </c:pt>
                <c:pt idx="2">
                  <c:v>94</c:v>
                </c:pt>
                <c:pt idx="3">
                  <c:v>78</c:v>
                </c:pt>
                <c:pt idx="4">
                  <c:v>88</c:v>
                </c:pt>
                <c:pt idx="5">
                  <c:v>89</c:v>
                </c:pt>
                <c:pt idx="6">
                  <c:v>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8D-4528-9D49-FCFA66C850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3579224"/>
        <c:axId val="43989382"/>
      </c:barChart>
      <c:catAx>
        <c:axId val="235792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43989382"/>
        <c:crosses val="autoZero"/>
        <c:auto val="1"/>
        <c:lblAlgn val="ctr"/>
        <c:lblOffset val="100"/>
        <c:noMultiLvlLbl val="0"/>
      </c:catAx>
      <c:valAx>
        <c:axId val="43989382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2357922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s-ES" sz="1800" b="1" strike="noStrike" spc="-1">
                <a:solidFill>
                  <a:srgbClr val="000000"/>
                </a:solidFill>
                <a:latin typeface="Calibri"/>
              </a:rPr>
              <a:t>Conducta de gasto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Resumen!$C$21</c:f>
              <c:strCache>
                <c:ptCount val="1"/>
                <c:pt idx="0">
                  <c:v>Cantidad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dPt>
            <c:idx val="0"/>
            <c:bubble3D val="0"/>
            <c:spPr>
              <a:solidFill>
                <a:srgbClr val="FF6B4A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1-0F86-4568-8C40-764C0DC42739}"/>
              </c:ext>
            </c:extLst>
          </c:dPt>
          <c:dPt>
            <c:idx val="1"/>
            <c:bubble3D val="0"/>
            <c:spPr>
              <a:solidFill>
                <a:srgbClr val="F2B705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3-0F86-4568-8C40-764C0DC42739}"/>
              </c:ext>
            </c:extLst>
          </c:dPt>
          <c:dPt>
            <c:idx val="2"/>
            <c:bubble3D val="0"/>
            <c:spPr>
              <a:solidFill>
                <a:srgbClr val="35B8B1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5-0F86-4568-8C40-764C0DC42739}"/>
              </c:ext>
            </c:extLst>
          </c:dPt>
          <c:dPt>
            <c:idx val="3"/>
            <c:bubble3D val="0"/>
            <c:spPr>
              <a:solidFill>
                <a:srgbClr val="9B8CFF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7-0F86-4568-8C40-764C0DC42739}"/>
              </c:ext>
            </c:extLst>
          </c:dPt>
          <c:dPt>
            <c:idx val="4"/>
            <c:bubble3D val="0"/>
            <c:spPr>
              <a:solidFill>
                <a:srgbClr val="5EA8E0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9-0F86-4568-8C40-764C0DC42739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s-E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1-0F86-4568-8C40-764C0DC42739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s-E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3-0F86-4568-8C40-764C0DC42739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s-E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5-0F86-4568-8C40-764C0DC42739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s-E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7-0F86-4568-8C40-764C0DC42739}"/>
                </c:ext>
              </c:extLst>
            </c:dLbl>
            <c:dLbl>
              <c:idx val="4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s-E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9-0F86-4568-8C40-764C0DC4273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s-ES"/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howBubbleSize val="1"/>
            <c:separator>;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Resumen!$B$22:$B$26</c:f>
              <c:strCache>
                <c:ptCount val="5"/>
                <c:pt idx="0">
                  <c:v>Planificador</c:v>
                </c:pt>
                <c:pt idx="1">
                  <c:v>Moderado</c:v>
                </c:pt>
                <c:pt idx="2">
                  <c:v>Gastador impulsivo</c:v>
                </c:pt>
                <c:pt idx="3">
                  <c:v>Ahorrador</c:v>
                </c:pt>
                <c:pt idx="4">
                  <c:v>Gastador en ocasiones especiales</c:v>
                </c:pt>
              </c:strCache>
            </c:strRef>
          </c:cat>
          <c:val>
            <c:numRef>
              <c:f>Resumen!$C$22:$C$26</c:f>
              <c:numCache>
                <c:formatCode>General</c:formatCode>
                <c:ptCount val="5"/>
                <c:pt idx="0">
                  <c:v>134</c:v>
                </c:pt>
                <c:pt idx="1">
                  <c:v>126</c:v>
                </c:pt>
                <c:pt idx="2">
                  <c:v>118</c:v>
                </c:pt>
                <c:pt idx="3">
                  <c:v>114</c:v>
                </c:pt>
                <c:pt idx="4">
                  <c:v>108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0F86-4568-8C40-764C0DC427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s-E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s-ES" sz="1800" b="1" strike="noStrike" spc="-1">
                <a:solidFill>
                  <a:srgbClr val="000000"/>
                </a:solidFill>
                <a:latin typeface="Calibri"/>
              </a:rPr>
              <a:t>Categoría de preferencia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Resumen!$C$32</c:f>
              <c:strCache>
                <c:ptCount val="1"/>
                <c:pt idx="0">
                  <c:v>Cantidad</c:v>
                </c:pt>
              </c:strCache>
            </c:strRef>
          </c:tx>
          <c:spPr>
            <a:solidFill>
              <a:srgbClr val="F2B705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Resumen!$B$33:$B$42</c:f>
              <c:strCache>
                <c:ptCount val="10"/>
                <c:pt idx="0">
                  <c:v>Educación</c:v>
                </c:pt>
                <c:pt idx="1">
                  <c:v>Moda y ropa</c:v>
                </c:pt>
                <c:pt idx="2">
                  <c:v>Comida y restaurantes</c:v>
                </c:pt>
                <c:pt idx="3">
                  <c:v>Deportes y fitness</c:v>
                </c:pt>
                <c:pt idx="4">
                  <c:v>Tecnología</c:v>
                </c:pt>
                <c:pt idx="5">
                  <c:v>Belleza y cuidado personal</c:v>
                </c:pt>
                <c:pt idx="6">
                  <c:v>Hogar y decoración</c:v>
                </c:pt>
                <c:pt idx="7">
                  <c:v>Viajes</c:v>
                </c:pt>
                <c:pt idx="8">
                  <c:v>Videojuegos</c:v>
                </c:pt>
                <c:pt idx="9">
                  <c:v>Entretenimiento/streaming</c:v>
                </c:pt>
              </c:strCache>
            </c:strRef>
          </c:cat>
          <c:val>
            <c:numRef>
              <c:f>Resumen!$C$33:$C$42</c:f>
              <c:numCache>
                <c:formatCode>General</c:formatCode>
                <c:ptCount val="10"/>
                <c:pt idx="0">
                  <c:v>75</c:v>
                </c:pt>
                <c:pt idx="1">
                  <c:v>74</c:v>
                </c:pt>
                <c:pt idx="2">
                  <c:v>69</c:v>
                </c:pt>
                <c:pt idx="3">
                  <c:v>62</c:v>
                </c:pt>
                <c:pt idx="4">
                  <c:v>59</c:v>
                </c:pt>
                <c:pt idx="5">
                  <c:v>59</c:v>
                </c:pt>
                <c:pt idx="6">
                  <c:v>54</c:v>
                </c:pt>
                <c:pt idx="7">
                  <c:v>51</c:v>
                </c:pt>
                <c:pt idx="8">
                  <c:v>49</c:v>
                </c:pt>
                <c:pt idx="9">
                  <c:v>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7C-46BE-ADD2-EB23D31396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2713599"/>
        <c:axId val="10676614"/>
      </c:barChart>
      <c:catAx>
        <c:axId val="6271359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10676614"/>
        <c:crosses val="autoZero"/>
        <c:auto val="1"/>
        <c:lblAlgn val="ctr"/>
        <c:lblOffset val="100"/>
        <c:noMultiLvlLbl val="0"/>
      </c:catAx>
      <c:valAx>
        <c:axId val="10676614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6271359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s-ES" sz="1800" b="1" strike="noStrike" spc="-1">
                <a:solidFill>
                  <a:srgbClr val="000000"/>
                </a:solidFill>
                <a:latin typeface="Calibri"/>
              </a:rPr>
              <a:t>Método de pago preferido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Resumen!$K$32</c:f>
              <c:strCache>
                <c:ptCount val="1"/>
                <c:pt idx="0">
                  <c:v>Cantidad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dPt>
            <c:idx val="0"/>
            <c:bubble3D val="0"/>
            <c:spPr>
              <a:solidFill>
                <a:srgbClr val="FF6B4A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1-6599-412B-B17E-3DD13DA55347}"/>
              </c:ext>
            </c:extLst>
          </c:dPt>
          <c:dPt>
            <c:idx val="1"/>
            <c:bubble3D val="0"/>
            <c:spPr>
              <a:solidFill>
                <a:srgbClr val="F2B705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3-6599-412B-B17E-3DD13DA55347}"/>
              </c:ext>
            </c:extLst>
          </c:dPt>
          <c:dPt>
            <c:idx val="2"/>
            <c:bubble3D val="0"/>
            <c:spPr>
              <a:solidFill>
                <a:srgbClr val="35B8B1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5-6599-412B-B17E-3DD13DA55347}"/>
              </c:ext>
            </c:extLst>
          </c:dPt>
          <c:dPt>
            <c:idx val="3"/>
            <c:bubble3D val="0"/>
            <c:spPr>
              <a:solidFill>
                <a:srgbClr val="9B8CFF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7-6599-412B-B17E-3DD13DA55347}"/>
              </c:ext>
            </c:extLst>
          </c:dPt>
          <c:dPt>
            <c:idx val="4"/>
            <c:bubble3D val="0"/>
            <c:spPr>
              <a:solidFill>
                <a:srgbClr val="5EA8E0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9-6599-412B-B17E-3DD13DA55347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s-E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1-6599-412B-B17E-3DD13DA55347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s-E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3-6599-412B-B17E-3DD13DA55347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s-E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5-6599-412B-B17E-3DD13DA55347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s-E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7-6599-412B-B17E-3DD13DA55347}"/>
                </c:ext>
              </c:extLst>
            </c:dLbl>
            <c:dLbl>
              <c:idx val="4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s-E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9-6599-412B-B17E-3DD13DA5534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s-ES"/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howBubbleSize val="1"/>
            <c:separator>;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Resumen!$J$33:$J$37</c:f>
              <c:strCache>
                <c:ptCount val="5"/>
                <c:pt idx="0">
                  <c:v>PayPal</c:v>
                </c:pt>
                <c:pt idx="1">
                  <c:v>Tarjeta de débito</c:v>
                </c:pt>
                <c:pt idx="2">
                  <c:v>SINPE Móvil</c:v>
                </c:pt>
                <c:pt idx="3">
                  <c:v>Efectivo</c:v>
                </c:pt>
                <c:pt idx="4">
                  <c:v>Tarjeta de crédito</c:v>
                </c:pt>
              </c:strCache>
            </c:strRef>
          </c:cat>
          <c:val>
            <c:numRef>
              <c:f>Resumen!$K$33:$K$37</c:f>
              <c:numCache>
                <c:formatCode>General</c:formatCode>
                <c:ptCount val="5"/>
                <c:pt idx="0">
                  <c:v>128</c:v>
                </c:pt>
                <c:pt idx="1">
                  <c:v>125</c:v>
                </c:pt>
                <c:pt idx="2">
                  <c:v>125</c:v>
                </c:pt>
                <c:pt idx="3">
                  <c:v>119</c:v>
                </c:pt>
                <c:pt idx="4">
                  <c:v>103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6599-412B-B17E-3DD13DA553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s-E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s-ES" sz="1800" b="1" strike="noStrike" spc="-1">
                <a:solidFill>
                  <a:srgbClr val="000000"/>
                </a:solidFill>
                <a:latin typeface="Calibri"/>
              </a:rPr>
              <a:t>Momento del día preferido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Resumen!$K$21</c:f>
              <c:strCache>
                <c:ptCount val="1"/>
                <c:pt idx="0">
                  <c:v>Cantidad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dPt>
            <c:idx val="0"/>
            <c:bubble3D val="0"/>
            <c:spPr>
              <a:solidFill>
                <a:srgbClr val="FF6B4A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1-D456-40DA-85B6-DEEAD902FB70}"/>
              </c:ext>
            </c:extLst>
          </c:dPt>
          <c:dPt>
            <c:idx val="1"/>
            <c:bubble3D val="0"/>
            <c:spPr>
              <a:solidFill>
                <a:srgbClr val="F2B705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3-D456-40DA-85B6-DEEAD902FB70}"/>
              </c:ext>
            </c:extLst>
          </c:dPt>
          <c:dPt>
            <c:idx val="2"/>
            <c:bubble3D val="0"/>
            <c:spPr>
              <a:solidFill>
                <a:srgbClr val="35B8B1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5-D456-40DA-85B6-DEEAD902FB70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s-E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1-D456-40DA-85B6-DEEAD902FB70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s-E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3-D456-40DA-85B6-DEEAD902FB70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s-E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5-D456-40DA-85B6-DEEAD902FB7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s-ES"/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howBubbleSize val="1"/>
            <c:separator>;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Resumen!$J$22:$J$24</c:f>
              <c:strCache>
                <c:ptCount val="3"/>
                <c:pt idx="0">
                  <c:v>Mañana</c:v>
                </c:pt>
                <c:pt idx="1">
                  <c:v>Tarde</c:v>
                </c:pt>
                <c:pt idx="2">
                  <c:v>Noche</c:v>
                </c:pt>
              </c:strCache>
            </c:strRef>
          </c:cat>
          <c:val>
            <c:numRef>
              <c:f>Resumen!$K$22:$K$24</c:f>
              <c:numCache>
                <c:formatCode>General</c:formatCode>
                <c:ptCount val="3"/>
                <c:pt idx="0">
                  <c:v>200</c:v>
                </c:pt>
                <c:pt idx="1">
                  <c:v>208</c:v>
                </c:pt>
                <c:pt idx="2">
                  <c:v>192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456-40DA-85B6-DEEAD902FB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s-E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s-ES" sz="1800" b="1" strike="noStrike" spc="-1">
                <a:solidFill>
                  <a:srgbClr val="000000"/>
                </a:solidFill>
                <a:latin typeface="Calibri"/>
              </a:rPr>
              <a:t>Top 12 marcas preferidas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Resumen!$G$32</c:f>
              <c:strCache>
                <c:ptCount val="1"/>
                <c:pt idx="0">
                  <c:v>Cantidad</c:v>
                </c:pt>
              </c:strCache>
            </c:strRef>
          </c:tx>
          <c:spPr>
            <a:solidFill>
              <a:srgbClr val="9B8CFF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Resumen!$F$33:$F$44</c:f>
              <c:strCache>
                <c:ptCount val="12"/>
                <c:pt idx="0">
                  <c:v>Adidas</c:v>
                </c:pt>
                <c:pt idx="1">
                  <c:v>UNED</c:v>
                </c:pt>
                <c:pt idx="2">
                  <c:v>Nike</c:v>
                </c:pt>
                <c:pt idx="3">
                  <c:v>McDonald's</c:v>
                </c:pt>
                <c:pt idx="4">
                  <c:v>H&amp;M</c:v>
                </c:pt>
                <c:pt idx="5">
                  <c:v>Smart Fit</c:v>
                </c:pt>
                <c:pt idx="6">
                  <c:v>UCR</c:v>
                </c:pt>
                <c:pt idx="7">
                  <c:v>Zara</c:v>
                </c:pt>
                <c:pt idx="8">
                  <c:v>Disney+</c:v>
                </c:pt>
                <c:pt idx="9">
                  <c:v>Natura</c:v>
                </c:pt>
                <c:pt idx="10">
                  <c:v>Aldo</c:v>
                </c:pt>
                <c:pt idx="11">
                  <c:v>Motorola</c:v>
                </c:pt>
              </c:strCache>
            </c:strRef>
          </c:cat>
          <c:val>
            <c:numRef>
              <c:f>Resumen!$G$33:$G$44</c:f>
              <c:numCache>
                <c:formatCode>General</c:formatCode>
                <c:ptCount val="12"/>
                <c:pt idx="0">
                  <c:v>27</c:v>
                </c:pt>
                <c:pt idx="1">
                  <c:v>23</c:v>
                </c:pt>
                <c:pt idx="2">
                  <c:v>22</c:v>
                </c:pt>
                <c:pt idx="3">
                  <c:v>19</c:v>
                </c:pt>
                <c:pt idx="4">
                  <c:v>17</c:v>
                </c:pt>
                <c:pt idx="5">
                  <c:v>17</c:v>
                </c:pt>
                <c:pt idx="6">
                  <c:v>16</c:v>
                </c:pt>
                <c:pt idx="7">
                  <c:v>15</c:v>
                </c:pt>
                <c:pt idx="8">
                  <c:v>15</c:v>
                </c:pt>
                <c:pt idx="9">
                  <c:v>15</c:v>
                </c:pt>
                <c:pt idx="10">
                  <c:v>14</c:v>
                </c:pt>
                <c:pt idx="11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F1-4D1A-B390-789348725C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7613679"/>
        <c:axId val="59096155"/>
      </c:barChart>
      <c:catAx>
        <c:axId val="3761367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59096155"/>
        <c:crosses val="autoZero"/>
        <c:auto val="1"/>
        <c:lblAlgn val="ctr"/>
        <c:lblOffset val="100"/>
        <c:noMultiLvlLbl val="0"/>
      </c:catAx>
      <c:valAx>
        <c:axId val="59096155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3761367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s-ES" sz="1800" b="1" strike="noStrike" spc="-1">
                <a:solidFill>
                  <a:srgbClr val="000000"/>
                </a:solidFill>
                <a:latin typeface="Calibri"/>
              </a:rPr>
              <a:t>Frecuencia de compra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Resumen!$G$21</c:f>
              <c:strCache>
                <c:ptCount val="1"/>
                <c:pt idx="0">
                  <c:v>Cantidad</c:v>
                </c:pt>
              </c:strCache>
            </c:strRef>
          </c:tx>
          <c:spPr>
            <a:solidFill>
              <a:srgbClr val="5EA8E0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Resumen!$F$22:$F$26</c:f>
              <c:strCache>
                <c:ptCount val="5"/>
                <c:pt idx="0">
                  <c:v>Diaria</c:v>
                </c:pt>
                <c:pt idx="1">
                  <c:v>Semanal</c:v>
                </c:pt>
                <c:pt idx="2">
                  <c:v>Quincenal</c:v>
                </c:pt>
                <c:pt idx="3">
                  <c:v>Mensual</c:v>
                </c:pt>
                <c:pt idx="4">
                  <c:v>Ocasional</c:v>
                </c:pt>
              </c:strCache>
            </c:strRef>
          </c:cat>
          <c:val>
            <c:numRef>
              <c:f>Resumen!$G$22:$G$26</c:f>
              <c:numCache>
                <c:formatCode>General</c:formatCode>
                <c:ptCount val="5"/>
                <c:pt idx="0">
                  <c:v>124</c:v>
                </c:pt>
                <c:pt idx="1">
                  <c:v>126</c:v>
                </c:pt>
                <c:pt idx="2">
                  <c:v>114</c:v>
                </c:pt>
                <c:pt idx="3">
                  <c:v>110</c:v>
                </c:pt>
                <c:pt idx="4">
                  <c:v>126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61-473F-B147-1DF40C36BB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5538184"/>
        <c:axId val="9655386"/>
      </c:barChart>
      <c:catAx>
        <c:axId val="755381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9655386"/>
        <c:crosses val="autoZero"/>
        <c:auto val="1"/>
        <c:lblAlgn val="ctr"/>
        <c:lblOffset val="100"/>
        <c:noMultiLvlLbl val="0"/>
      </c:catAx>
      <c:valAx>
        <c:axId val="965538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7553818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</xdr:row>
      <xdr:rowOff>0</xdr:rowOff>
    </xdr:from>
    <xdr:to>
      <xdr:col>6</xdr:col>
      <xdr:colOff>645840</xdr:colOff>
      <xdr:row>25</xdr:row>
      <xdr:rowOff>47520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624840</xdr:colOff>
      <xdr:row>9</xdr:row>
      <xdr:rowOff>0</xdr:rowOff>
    </xdr:from>
    <xdr:to>
      <xdr:col>11</xdr:col>
      <xdr:colOff>99060</xdr:colOff>
      <xdr:row>25</xdr:row>
      <xdr:rowOff>47520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11</xdr:col>
      <xdr:colOff>60960</xdr:colOff>
      <xdr:row>9</xdr:row>
      <xdr:rowOff>0</xdr:rowOff>
    </xdr:from>
    <xdr:to>
      <xdr:col>16</xdr:col>
      <xdr:colOff>504720</xdr:colOff>
      <xdr:row>25</xdr:row>
      <xdr:rowOff>47520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</xdr:col>
      <xdr:colOff>0</xdr:colOff>
      <xdr:row>26</xdr:row>
      <xdr:rowOff>0</xdr:rowOff>
    </xdr:from>
    <xdr:to>
      <xdr:col>6</xdr:col>
      <xdr:colOff>645840</xdr:colOff>
      <xdr:row>42</xdr:row>
      <xdr:rowOff>47520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5</xdr:col>
      <xdr:colOff>0</xdr:colOff>
      <xdr:row>26</xdr:row>
      <xdr:rowOff>0</xdr:rowOff>
    </xdr:from>
    <xdr:to>
      <xdr:col>10</xdr:col>
      <xdr:colOff>645840</xdr:colOff>
      <xdr:row>42</xdr:row>
      <xdr:rowOff>47520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10</xdr:col>
      <xdr:colOff>365760</xdr:colOff>
      <xdr:row>26</xdr:row>
      <xdr:rowOff>0</xdr:rowOff>
    </xdr:from>
    <xdr:to>
      <xdr:col>16</xdr:col>
      <xdr:colOff>504720</xdr:colOff>
      <xdr:row>42</xdr:row>
      <xdr:rowOff>47520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1</xdr:col>
      <xdr:colOff>0</xdr:colOff>
      <xdr:row>43</xdr:row>
      <xdr:rowOff>0</xdr:rowOff>
    </xdr:from>
    <xdr:to>
      <xdr:col>6</xdr:col>
      <xdr:colOff>645840</xdr:colOff>
      <xdr:row>59</xdr:row>
      <xdr:rowOff>47520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5</xdr:col>
      <xdr:colOff>480060</xdr:colOff>
      <xdr:row>43</xdr:row>
      <xdr:rowOff>0</xdr:rowOff>
    </xdr:from>
    <xdr:to>
      <xdr:col>10</xdr:col>
      <xdr:colOff>645840</xdr:colOff>
      <xdr:row>59</xdr:row>
      <xdr:rowOff>47520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oneCell">
    <xdr:from>
      <xdr:col>10</xdr:col>
      <xdr:colOff>388620</xdr:colOff>
      <xdr:row>43</xdr:row>
      <xdr:rowOff>0</xdr:rowOff>
    </xdr:from>
    <xdr:to>
      <xdr:col>16</xdr:col>
      <xdr:colOff>504720</xdr:colOff>
      <xdr:row>59</xdr:row>
      <xdr:rowOff>47520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Datos" displayName="TablaDatos" ref="A1:S601" totalsRowShown="0">
  <autoFilter ref="A1:S601" xr:uid="{00000000-0009-0000-0100-000001000000}"/>
  <tableColumns count="19">
    <tableColumn id="1" xr3:uid="{00000000-0010-0000-0000-000001000000}" name="ID"/>
    <tableColumn id="2" xr3:uid="{00000000-0010-0000-0000-000002000000}" name="Nombre"/>
    <tableColumn id="3" xr3:uid="{00000000-0010-0000-0000-000003000000}" name="Primer Apellido"/>
    <tableColumn id="4" xr3:uid="{00000000-0010-0000-0000-000004000000}" name="Segundo Apellido"/>
    <tableColumn id="5" xr3:uid="{00000000-0010-0000-0000-000005000000}" name="Género"/>
    <tableColumn id="6" xr3:uid="{00000000-0010-0000-0000-000006000000}" name="Edad"/>
    <tableColumn id="7" xr3:uid="{00000000-0010-0000-0000-000007000000}" name="Mes de Cumpleaños"/>
    <tableColumn id="8" xr3:uid="{00000000-0010-0000-0000-000008000000}" name="Día de Cumpleaños"/>
    <tableColumn id="9" xr3:uid="{00000000-0010-0000-0000-000009000000}" name="Signo Zodiacal"/>
    <tableColumn id="10" xr3:uid="{00000000-0010-0000-0000-00000A000000}" name="Provincia"/>
    <tableColumn id="11" xr3:uid="{00000000-0010-0000-0000-00000B000000}" name="Cantón"/>
    <tableColumn id="12" xr3:uid="{00000000-0010-0000-0000-00000C000000}" name="Conducta de Gasto"/>
    <tableColumn id="13" xr3:uid="{00000000-0010-0000-0000-00000D000000}" name="Monto Promedio de Compra (₡)"/>
    <tableColumn id="14" xr3:uid="{00000000-0010-0000-0000-00000E000000}" name="Frecuencia de Compra"/>
    <tableColumn id="15" xr3:uid="{00000000-0010-0000-0000-00000F000000}" name="Momento del Día Preferido"/>
    <tableColumn id="16" xr3:uid="{00000000-0010-0000-0000-000010000000}" name="Categoría de Preferencia"/>
    <tableColumn id="17" xr3:uid="{00000000-0010-0000-0000-000011000000}" name="Marca Preferida"/>
    <tableColumn id="18" xr3:uid="{00000000-0010-0000-0000-000012000000}" name="Método de Pago Preferido"/>
    <tableColumn id="19" xr3:uid="{00000000-0010-0000-0000-000013000000}" name="Grupo Edad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6B4A"/>
  </sheetPr>
  <dimension ref="A1:P61"/>
  <sheetViews>
    <sheetView showGridLines="0" tabSelected="1" topLeftCell="B1" zoomScaleNormal="100" workbookViewId="0"/>
  </sheetViews>
  <sheetFormatPr baseColWidth="10" defaultColWidth="8.6640625" defaultRowHeight="14.4" x14ac:dyDescent="0.3"/>
  <cols>
    <col min="1" max="1" width="2" customWidth="1"/>
    <col min="2" max="15" width="14" customWidth="1"/>
    <col min="16" max="16" width="2" customWidth="1"/>
  </cols>
  <sheetData>
    <row r="1" spans="1:16" x14ac:dyDescent="0.3">
      <c r="A1" s="8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</row>
    <row r="2" spans="1:16" ht="21.75" customHeight="1" x14ac:dyDescent="0.3">
      <c r="A2" s="9"/>
      <c r="B2" s="7" t="s">
        <v>0</v>
      </c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9"/>
    </row>
    <row r="3" spans="1:16" ht="21.75" customHeight="1" x14ac:dyDescent="0.3">
      <c r="A3" s="9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9"/>
    </row>
    <row r="4" spans="1:16" ht="19.5" customHeight="1" x14ac:dyDescent="0.3">
      <c r="A4" s="8"/>
      <c r="B4" s="6" t="s">
        <v>1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8"/>
    </row>
    <row r="5" spans="1:16" ht="6" customHeight="1" x14ac:dyDescent="0.3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</row>
    <row r="6" spans="1:16" ht="15.75" customHeight="1" x14ac:dyDescent="0.3">
      <c r="A6" s="8"/>
      <c r="B6" s="5" t="s">
        <v>2</v>
      </c>
      <c r="C6" s="5"/>
      <c r="D6" s="8"/>
      <c r="E6" s="5" t="s">
        <v>3</v>
      </c>
      <c r="F6" s="5"/>
      <c r="G6" s="8"/>
      <c r="H6" s="5" t="s">
        <v>4</v>
      </c>
      <c r="I6" s="5"/>
      <c r="J6" s="8"/>
      <c r="K6" s="5" t="s">
        <v>5</v>
      </c>
      <c r="L6" s="5"/>
      <c r="M6" s="8"/>
      <c r="N6" s="8"/>
      <c r="O6" s="8"/>
      <c r="P6" s="8"/>
    </row>
    <row r="7" spans="1:16" ht="25.5" customHeight="1" x14ac:dyDescent="0.3">
      <c r="A7" s="8"/>
      <c r="B7" s="4">
        <f>COUNTA(Datos!$A$2:$A$601)</f>
        <v>600</v>
      </c>
      <c r="C7" s="4"/>
      <c r="D7" s="8"/>
      <c r="E7" s="3">
        <f>AVERAGE(Datos!$F$2:$F$601)</f>
        <v>42.613333333333337</v>
      </c>
      <c r="F7" s="3"/>
      <c r="G7" s="8"/>
      <c r="H7" s="2">
        <f>AVERAGE(Datos!$M$2:$M$601)</f>
        <v>173962.94500000001</v>
      </c>
      <c r="I7" s="2"/>
      <c r="J7" s="8"/>
      <c r="K7" s="1" t="str">
        <f>INDEX(Resumen!$B$4:$B$15,MATCH(MAX(Resumen!$C$4:$C$15),Resumen!$C$4:$C$15,0))</f>
        <v>Noviembre</v>
      </c>
      <c r="L7" s="1"/>
      <c r="M7" s="8"/>
      <c r="N7" s="8"/>
      <c r="O7" s="8"/>
      <c r="P7" s="8"/>
    </row>
    <row r="8" spans="1:16" ht="7.5" customHeight="1" x14ac:dyDescent="0.3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</row>
    <row r="9" spans="1:16" x14ac:dyDescent="0.3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</row>
    <row r="10" spans="1:16" x14ac:dyDescent="0.3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</row>
    <row r="11" spans="1:16" x14ac:dyDescent="0.3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</row>
    <row r="12" spans="1:16" x14ac:dyDescent="0.3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</row>
    <row r="13" spans="1:16" x14ac:dyDescent="0.3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</row>
    <row r="14" spans="1:16" x14ac:dyDescent="0.3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</row>
    <row r="15" spans="1:16" x14ac:dyDescent="0.3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</row>
    <row r="16" spans="1:16" x14ac:dyDescent="0.3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</row>
    <row r="17" spans="1:16" x14ac:dyDescent="0.3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</row>
    <row r="18" spans="1:16" x14ac:dyDescent="0.3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</row>
    <row r="19" spans="1:16" x14ac:dyDescent="0.3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</row>
    <row r="20" spans="1:16" x14ac:dyDescent="0.3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</row>
    <row r="21" spans="1:16" x14ac:dyDescent="0.3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</row>
    <row r="22" spans="1:16" x14ac:dyDescent="0.3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</row>
    <row r="23" spans="1:16" x14ac:dyDescent="0.3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</row>
    <row r="24" spans="1:16" x14ac:dyDescent="0.3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</row>
    <row r="25" spans="1:16" x14ac:dyDescent="0.3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</row>
    <row r="26" spans="1:16" x14ac:dyDescent="0.3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</row>
    <row r="27" spans="1:16" x14ac:dyDescent="0.3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</row>
    <row r="28" spans="1:16" x14ac:dyDescent="0.3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</row>
    <row r="29" spans="1:16" x14ac:dyDescent="0.3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</row>
    <row r="30" spans="1:16" x14ac:dyDescent="0.3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</row>
    <row r="31" spans="1:16" x14ac:dyDescent="0.3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</row>
    <row r="32" spans="1:16" x14ac:dyDescent="0.3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</row>
    <row r="33" spans="1:16" x14ac:dyDescent="0.3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</row>
    <row r="34" spans="1:16" x14ac:dyDescent="0.3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</row>
    <row r="35" spans="1:16" x14ac:dyDescent="0.3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</row>
    <row r="36" spans="1:16" x14ac:dyDescent="0.3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</row>
    <row r="37" spans="1:16" x14ac:dyDescent="0.3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</row>
    <row r="38" spans="1:16" x14ac:dyDescent="0.3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</row>
    <row r="39" spans="1:16" x14ac:dyDescent="0.3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</row>
    <row r="40" spans="1:16" x14ac:dyDescent="0.3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</row>
    <row r="41" spans="1:16" x14ac:dyDescent="0.3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</row>
    <row r="42" spans="1:16" x14ac:dyDescent="0.3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</row>
    <row r="43" spans="1:16" x14ac:dyDescent="0.3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</row>
    <row r="44" spans="1:16" x14ac:dyDescent="0.3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</row>
    <row r="45" spans="1:16" x14ac:dyDescent="0.3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</row>
    <row r="46" spans="1:16" x14ac:dyDescent="0.3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</row>
    <row r="47" spans="1:16" x14ac:dyDescent="0.3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</row>
    <row r="48" spans="1:16" x14ac:dyDescent="0.3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</row>
    <row r="49" spans="1:16" x14ac:dyDescent="0.3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</row>
    <row r="50" spans="1:16" x14ac:dyDescent="0.3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</row>
    <row r="51" spans="1:16" x14ac:dyDescent="0.3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</row>
    <row r="52" spans="1:16" x14ac:dyDescent="0.3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</row>
    <row r="53" spans="1:16" x14ac:dyDescent="0.3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</row>
    <row r="54" spans="1:16" x14ac:dyDescent="0.3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</row>
    <row r="55" spans="1:16" x14ac:dyDescent="0.3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</row>
    <row r="56" spans="1:16" x14ac:dyDescent="0.3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</row>
    <row r="57" spans="1:16" x14ac:dyDescent="0.3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</row>
    <row r="58" spans="1:16" x14ac:dyDescent="0.3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</row>
    <row r="59" spans="1:16" x14ac:dyDescent="0.3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</row>
    <row r="60" spans="1:16" x14ac:dyDescent="0.3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</row>
    <row r="61" spans="1:16" x14ac:dyDescent="0.3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</row>
  </sheetData>
  <mergeCells count="10">
    <mergeCell ref="B7:C7"/>
    <mergeCell ref="E7:F7"/>
    <mergeCell ref="H7:I7"/>
    <mergeCell ref="K7:L7"/>
    <mergeCell ref="B2:O3"/>
    <mergeCell ref="B4:O4"/>
    <mergeCell ref="B6:C6"/>
    <mergeCell ref="E6:F6"/>
    <mergeCell ref="H6:I6"/>
    <mergeCell ref="K6:L6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601"/>
  <sheetViews>
    <sheetView zoomScaleNormal="100" workbookViewId="0">
      <pane ySplit="1" topLeftCell="A2" activePane="bottomLeft" state="frozen"/>
      <selection pane="bottomLeft"/>
    </sheetView>
  </sheetViews>
  <sheetFormatPr baseColWidth="10" defaultColWidth="8.6640625" defaultRowHeight="14.4" x14ac:dyDescent="0.3"/>
  <cols>
    <col min="1" max="1" width="6" customWidth="1"/>
    <col min="2" max="2" width="12" customWidth="1"/>
    <col min="3" max="4" width="14" customWidth="1"/>
    <col min="5" max="5" width="10" customWidth="1"/>
    <col min="6" max="6" width="7" customWidth="1"/>
    <col min="7" max="7" width="14" customWidth="1"/>
    <col min="8" max="8" width="8" customWidth="1"/>
    <col min="9" max="10" width="12" customWidth="1"/>
    <col min="11" max="11" width="14" customWidth="1"/>
    <col min="12" max="12" width="20" customWidth="1"/>
    <col min="13" max="14" width="16" customWidth="1"/>
    <col min="15" max="15" width="20" customWidth="1"/>
    <col min="16" max="16" width="22" customWidth="1"/>
    <col min="17" max="17" width="16" customWidth="1"/>
    <col min="18" max="18" width="20" customWidth="1"/>
    <col min="19" max="19" width="12" customWidth="1"/>
  </cols>
  <sheetData>
    <row r="1" spans="1:19" ht="41.4" x14ac:dyDescent="0.3">
      <c r="A1" s="10" t="s">
        <v>6</v>
      </c>
      <c r="B1" s="10" t="s">
        <v>7</v>
      </c>
      <c r="C1" s="10" t="s">
        <v>8</v>
      </c>
      <c r="D1" s="10" t="s">
        <v>9</v>
      </c>
      <c r="E1" s="10" t="s">
        <v>10</v>
      </c>
      <c r="F1" s="10" t="s">
        <v>11</v>
      </c>
      <c r="G1" s="10" t="s">
        <v>12</v>
      </c>
      <c r="H1" s="10" t="s">
        <v>13</v>
      </c>
      <c r="I1" s="10" t="s">
        <v>14</v>
      </c>
      <c r="J1" s="10" t="s">
        <v>15</v>
      </c>
      <c r="K1" s="10" t="s">
        <v>16</v>
      </c>
      <c r="L1" s="10" t="s">
        <v>17</v>
      </c>
      <c r="M1" s="10" t="s">
        <v>18</v>
      </c>
      <c r="N1" s="10" t="s">
        <v>19</v>
      </c>
      <c r="O1" s="10" t="s">
        <v>20</v>
      </c>
      <c r="P1" s="10" t="s">
        <v>21</v>
      </c>
      <c r="Q1" s="10" t="s">
        <v>22</v>
      </c>
      <c r="R1" s="10" t="s">
        <v>23</v>
      </c>
      <c r="S1" s="10" t="s">
        <v>24</v>
      </c>
    </row>
    <row r="2" spans="1:19" x14ac:dyDescent="0.3">
      <c r="A2">
        <v>1</v>
      </c>
      <c r="B2" t="s">
        <v>25</v>
      </c>
      <c r="C2" t="s">
        <v>26</v>
      </c>
      <c r="D2" t="s">
        <v>27</v>
      </c>
      <c r="E2" t="s">
        <v>28</v>
      </c>
      <c r="F2">
        <v>24</v>
      </c>
      <c r="G2" t="s">
        <v>29</v>
      </c>
      <c r="H2">
        <v>8</v>
      </c>
      <c r="I2" t="s">
        <v>30</v>
      </c>
      <c r="J2" t="s">
        <v>31</v>
      </c>
      <c r="K2" t="s">
        <v>32</v>
      </c>
      <c r="L2" t="s">
        <v>33</v>
      </c>
      <c r="M2">
        <v>208720</v>
      </c>
      <c r="N2" t="s">
        <v>34</v>
      </c>
      <c r="O2" t="s">
        <v>35</v>
      </c>
      <c r="P2" t="s">
        <v>36</v>
      </c>
      <c r="Q2" t="s">
        <v>37</v>
      </c>
      <c r="R2" t="s">
        <v>38</v>
      </c>
      <c r="S2" t="str">
        <f t="shared" ref="S2:S65" si="0">IF(F2&lt;25,"18-24",IF(F2&lt;35,"25-34",IF(F2&lt;45,"35-44",IF(F2&lt;55,"45-54","55-65"))))</f>
        <v>18-24</v>
      </c>
    </row>
    <row r="3" spans="1:19" x14ac:dyDescent="0.3">
      <c r="A3">
        <v>2</v>
      </c>
      <c r="B3" t="s">
        <v>39</v>
      </c>
      <c r="C3" t="s">
        <v>40</v>
      </c>
      <c r="D3" t="s">
        <v>41</v>
      </c>
      <c r="E3" t="s">
        <v>28</v>
      </c>
      <c r="F3">
        <v>62</v>
      </c>
      <c r="G3" t="s">
        <v>42</v>
      </c>
      <c r="H3">
        <v>7</v>
      </c>
      <c r="I3" t="s">
        <v>43</v>
      </c>
      <c r="J3" t="s">
        <v>44</v>
      </c>
      <c r="K3" t="s">
        <v>45</v>
      </c>
      <c r="L3" t="s">
        <v>46</v>
      </c>
      <c r="M3">
        <v>81052</v>
      </c>
      <c r="N3" t="s">
        <v>47</v>
      </c>
      <c r="O3" t="s">
        <v>35</v>
      </c>
      <c r="P3" t="s">
        <v>36</v>
      </c>
      <c r="Q3" t="s">
        <v>48</v>
      </c>
      <c r="R3" t="s">
        <v>38</v>
      </c>
      <c r="S3" t="str">
        <f t="shared" si="0"/>
        <v>55-65</v>
      </c>
    </row>
    <row r="4" spans="1:19" x14ac:dyDescent="0.3">
      <c r="A4">
        <v>3</v>
      </c>
      <c r="B4" t="s">
        <v>49</v>
      </c>
      <c r="C4" t="s">
        <v>27</v>
      </c>
      <c r="D4" t="s">
        <v>50</v>
      </c>
      <c r="E4" t="s">
        <v>51</v>
      </c>
      <c r="F4">
        <v>23</v>
      </c>
      <c r="G4" t="s">
        <v>29</v>
      </c>
      <c r="H4">
        <v>25</v>
      </c>
      <c r="I4" t="s">
        <v>52</v>
      </c>
      <c r="J4" t="s">
        <v>53</v>
      </c>
      <c r="K4" t="s">
        <v>54</v>
      </c>
      <c r="L4" t="s">
        <v>55</v>
      </c>
      <c r="M4">
        <v>128848</v>
      </c>
      <c r="N4" t="s">
        <v>56</v>
      </c>
      <c r="O4" t="s">
        <v>57</v>
      </c>
      <c r="P4" t="s">
        <v>58</v>
      </c>
      <c r="Q4" t="s">
        <v>59</v>
      </c>
      <c r="R4" t="s">
        <v>60</v>
      </c>
      <c r="S4" t="str">
        <f t="shared" si="0"/>
        <v>18-24</v>
      </c>
    </row>
    <row r="5" spans="1:19" x14ac:dyDescent="0.3">
      <c r="A5">
        <v>4</v>
      </c>
      <c r="B5" t="s">
        <v>61</v>
      </c>
      <c r="C5" t="s">
        <v>62</v>
      </c>
      <c r="D5" t="s">
        <v>63</v>
      </c>
      <c r="E5" t="s">
        <v>51</v>
      </c>
      <c r="F5">
        <v>54</v>
      </c>
      <c r="G5" t="s">
        <v>64</v>
      </c>
      <c r="H5">
        <v>18</v>
      </c>
      <c r="I5" t="s">
        <v>65</v>
      </c>
      <c r="J5" t="s">
        <v>53</v>
      </c>
      <c r="K5" t="s">
        <v>66</v>
      </c>
      <c r="L5" t="s">
        <v>67</v>
      </c>
      <c r="M5">
        <v>20809</v>
      </c>
      <c r="N5" t="s">
        <v>47</v>
      </c>
      <c r="O5" t="s">
        <v>35</v>
      </c>
      <c r="P5" t="s">
        <v>68</v>
      </c>
      <c r="Q5" t="s">
        <v>69</v>
      </c>
      <c r="R5" t="s">
        <v>38</v>
      </c>
      <c r="S5" t="str">
        <f t="shared" si="0"/>
        <v>45-54</v>
      </c>
    </row>
    <row r="6" spans="1:19" x14ac:dyDescent="0.3">
      <c r="A6">
        <v>5</v>
      </c>
      <c r="B6" t="s">
        <v>70</v>
      </c>
      <c r="C6" t="s">
        <v>27</v>
      </c>
      <c r="D6" t="s">
        <v>71</v>
      </c>
      <c r="E6" t="s">
        <v>28</v>
      </c>
      <c r="F6">
        <v>41</v>
      </c>
      <c r="G6" t="s">
        <v>72</v>
      </c>
      <c r="H6">
        <v>27</v>
      </c>
      <c r="I6" t="s">
        <v>73</v>
      </c>
      <c r="J6" t="s">
        <v>53</v>
      </c>
      <c r="K6" t="s">
        <v>74</v>
      </c>
      <c r="L6" t="s">
        <v>33</v>
      </c>
      <c r="M6">
        <v>236210</v>
      </c>
      <c r="N6" t="s">
        <v>56</v>
      </c>
      <c r="O6" t="s">
        <v>75</v>
      </c>
      <c r="P6" t="s">
        <v>76</v>
      </c>
      <c r="Q6" t="s">
        <v>77</v>
      </c>
      <c r="R6" t="s">
        <v>38</v>
      </c>
      <c r="S6" t="str">
        <f t="shared" si="0"/>
        <v>35-44</v>
      </c>
    </row>
    <row r="7" spans="1:19" x14ac:dyDescent="0.3">
      <c r="A7">
        <v>6</v>
      </c>
      <c r="B7" t="s">
        <v>78</v>
      </c>
      <c r="C7" t="s">
        <v>71</v>
      </c>
      <c r="D7" t="s">
        <v>63</v>
      </c>
      <c r="E7" t="s">
        <v>28</v>
      </c>
      <c r="F7">
        <v>32</v>
      </c>
      <c r="G7" t="s">
        <v>79</v>
      </c>
      <c r="H7">
        <v>30</v>
      </c>
      <c r="I7" t="s">
        <v>80</v>
      </c>
      <c r="J7" t="s">
        <v>44</v>
      </c>
      <c r="K7" t="s">
        <v>81</v>
      </c>
      <c r="L7" t="s">
        <v>33</v>
      </c>
      <c r="M7">
        <v>84022</v>
      </c>
      <c r="N7" t="s">
        <v>47</v>
      </c>
      <c r="O7" t="s">
        <v>57</v>
      </c>
      <c r="P7" t="s">
        <v>76</v>
      </c>
      <c r="Q7" t="s">
        <v>82</v>
      </c>
      <c r="R7" t="s">
        <v>83</v>
      </c>
      <c r="S7" t="str">
        <f t="shared" si="0"/>
        <v>25-34</v>
      </c>
    </row>
    <row r="8" spans="1:19" x14ac:dyDescent="0.3">
      <c r="A8">
        <v>7</v>
      </c>
      <c r="B8" t="s">
        <v>84</v>
      </c>
      <c r="C8" t="s">
        <v>85</v>
      </c>
      <c r="D8" t="s">
        <v>86</v>
      </c>
      <c r="E8" t="s">
        <v>28</v>
      </c>
      <c r="F8">
        <v>43</v>
      </c>
      <c r="G8" t="s">
        <v>87</v>
      </c>
      <c r="H8">
        <v>7</v>
      </c>
      <c r="I8" t="s">
        <v>80</v>
      </c>
      <c r="J8" t="s">
        <v>44</v>
      </c>
      <c r="K8" t="s">
        <v>88</v>
      </c>
      <c r="L8" t="s">
        <v>67</v>
      </c>
      <c r="M8">
        <v>96384</v>
      </c>
      <c r="N8" t="s">
        <v>56</v>
      </c>
      <c r="O8" t="s">
        <v>75</v>
      </c>
      <c r="P8" t="s">
        <v>89</v>
      </c>
      <c r="Q8" t="s">
        <v>90</v>
      </c>
      <c r="R8" t="s">
        <v>83</v>
      </c>
      <c r="S8" t="str">
        <f t="shared" si="0"/>
        <v>35-44</v>
      </c>
    </row>
    <row r="9" spans="1:19" x14ac:dyDescent="0.3">
      <c r="A9">
        <v>8</v>
      </c>
      <c r="B9" t="s">
        <v>91</v>
      </c>
      <c r="C9" t="s">
        <v>92</v>
      </c>
      <c r="D9" t="s">
        <v>93</v>
      </c>
      <c r="E9" t="s">
        <v>51</v>
      </c>
      <c r="F9">
        <v>23</v>
      </c>
      <c r="G9" t="s">
        <v>29</v>
      </c>
      <c r="H9">
        <v>5</v>
      </c>
      <c r="I9" t="s">
        <v>30</v>
      </c>
      <c r="J9" t="s">
        <v>94</v>
      </c>
      <c r="K9" t="s">
        <v>95</v>
      </c>
      <c r="L9" t="s">
        <v>67</v>
      </c>
      <c r="M9">
        <v>57730</v>
      </c>
      <c r="N9" t="s">
        <v>96</v>
      </c>
      <c r="O9" t="s">
        <v>75</v>
      </c>
      <c r="P9" t="s">
        <v>97</v>
      </c>
      <c r="Q9" t="s">
        <v>98</v>
      </c>
      <c r="R9" t="s">
        <v>60</v>
      </c>
      <c r="S9" t="str">
        <f t="shared" si="0"/>
        <v>18-24</v>
      </c>
    </row>
    <row r="10" spans="1:19" x14ac:dyDescent="0.3">
      <c r="A10">
        <v>9</v>
      </c>
      <c r="B10" t="s">
        <v>99</v>
      </c>
      <c r="C10" t="s">
        <v>40</v>
      </c>
      <c r="D10" t="s">
        <v>71</v>
      </c>
      <c r="E10" t="s">
        <v>51</v>
      </c>
      <c r="F10">
        <v>61</v>
      </c>
      <c r="G10" t="s">
        <v>42</v>
      </c>
      <c r="H10">
        <v>9</v>
      </c>
      <c r="I10" t="s">
        <v>43</v>
      </c>
      <c r="J10" t="s">
        <v>94</v>
      </c>
      <c r="K10" t="s">
        <v>100</v>
      </c>
      <c r="L10" t="s">
        <v>55</v>
      </c>
      <c r="M10">
        <v>264053</v>
      </c>
      <c r="N10" t="s">
        <v>34</v>
      </c>
      <c r="O10" t="s">
        <v>57</v>
      </c>
      <c r="P10" t="s">
        <v>101</v>
      </c>
      <c r="Q10" t="s">
        <v>102</v>
      </c>
      <c r="R10" t="s">
        <v>103</v>
      </c>
      <c r="S10" t="str">
        <f t="shared" si="0"/>
        <v>55-65</v>
      </c>
    </row>
    <row r="11" spans="1:19" x14ac:dyDescent="0.3">
      <c r="A11">
        <v>10</v>
      </c>
      <c r="B11" t="s">
        <v>104</v>
      </c>
      <c r="C11" t="s">
        <v>105</v>
      </c>
      <c r="D11" t="s">
        <v>106</v>
      </c>
      <c r="E11" t="s">
        <v>28</v>
      </c>
      <c r="F11">
        <v>50</v>
      </c>
      <c r="G11" t="s">
        <v>107</v>
      </c>
      <c r="H11">
        <v>9</v>
      </c>
      <c r="I11" t="s">
        <v>73</v>
      </c>
      <c r="J11" t="s">
        <v>94</v>
      </c>
      <c r="K11" t="s">
        <v>108</v>
      </c>
      <c r="L11" t="s">
        <v>46</v>
      </c>
      <c r="M11">
        <v>295376</v>
      </c>
      <c r="N11" t="s">
        <v>56</v>
      </c>
      <c r="O11" t="s">
        <v>35</v>
      </c>
      <c r="P11" t="s">
        <v>101</v>
      </c>
      <c r="Q11" t="s">
        <v>77</v>
      </c>
      <c r="R11" t="s">
        <v>38</v>
      </c>
      <c r="S11" t="str">
        <f t="shared" si="0"/>
        <v>45-54</v>
      </c>
    </row>
    <row r="12" spans="1:19" x14ac:dyDescent="0.3">
      <c r="A12">
        <v>11</v>
      </c>
      <c r="B12" t="s">
        <v>109</v>
      </c>
      <c r="C12" t="s">
        <v>110</v>
      </c>
      <c r="D12" t="s">
        <v>111</v>
      </c>
      <c r="E12" t="s">
        <v>51</v>
      </c>
      <c r="F12">
        <v>49</v>
      </c>
      <c r="G12" t="s">
        <v>42</v>
      </c>
      <c r="H12">
        <v>30</v>
      </c>
      <c r="I12" t="s">
        <v>112</v>
      </c>
      <c r="J12" t="s">
        <v>113</v>
      </c>
      <c r="K12" t="s">
        <v>114</v>
      </c>
      <c r="L12" t="s">
        <v>55</v>
      </c>
      <c r="M12">
        <v>325539</v>
      </c>
      <c r="N12" t="s">
        <v>115</v>
      </c>
      <c r="O12" t="s">
        <v>35</v>
      </c>
      <c r="P12" t="s">
        <v>97</v>
      </c>
      <c r="Q12" t="s">
        <v>98</v>
      </c>
      <c r="R12" t="s">
        <v>38</v>
      </c>
      <c r="S12" t="str">
        <f t="shared" si="0"/>
        <v>45-54</v>
      </c>
    </row>
    <row r="13" spans="1:19" x14ac:dyDescent="0.3">
      <c r="A13">
        <v>12</v>
      </c>
      <c r="B13" t="s">
        <v>116</v>
      </c>
      <c r="C13" t="s">
        <v>106</v>
      </c>
      <c r="D13" t="s">
        <v>117</v>
      </c>
      <c r="E13" t="s">
        <v>28</v>
      </c>
      <c r="F13">
        <v>26</v>
      </c>
      <c r="G13" t="s">
        <v>64</v>
      </c>
      <c r="H13">
        <v>25</v>
      </c>
      <c r="I13" t="s">
        <v>118</v>
      </c>
      <c r="J13" t="s">
        <v>94</v>
      </c>
      <c r="K13" t="s">
        <v>108</v>
      </c>
      <c r="L13" t="s">
        <v>46</v>
      </c>
      <c r="M13">
        <v>61969</v>
      </c>
      <c r="N13" t="s">
        <v>56</v>
      </c>
      <c r="O13" t="s">
        <v>57</v>
      </c>
      <c r="P13" t="s">
        <v>89</v>
      </c>
      <c r="Q13" t="s">
        <v>119</v>
      </c>
      <c r="R13" t="s">
        <v>38</v>
      </c>
      <c r="S13" t="str">
        <f t="shared" si="0"/>
        <v>25-34</v>
      </c>
    </row>
    <row r="14" spans="1:19" x14ac:dyDescent="0.3">
      <c r="A14">
        <v>13</v>
      </c>
      <c r="B14" t="s">
        <v>120</v>
      </c>
      <c r="C14" t="s">
        <v>92</v>
      </c>
      <c r="D14" t="s">
        <v>121</v>
      </c>
      <c r="E14" t="s">
        <v>28</v>
      </c>
      <c r="F14">
        <v>46</v>
      </c>
      <c r="G14" t="s">
        <v>72</v>
      </c>
      <c r="H14">
        <v>12</v>
      </c>
      <c r="I14" t="s">
        <v>122</v>
      </c>
      <c r="J14" t="s">
        <v>123</v>
      </c>
      <c r="K14" t="s">
        <v>124</v>
      </c>
      <c r="L14" t="s">
        <v>55</v>
      </c>
      <c r="M14">
        <v>82521</v>
      </c>
      <c r="N14" t="s">
        <v>34</v>
      </c>
      <c r="O14" t="s">
        <v>75</v>
      </c>
      <c r="P14" t="s">
        <v>101</v>
      </c>
      <c r="Q14" t="s">
        <v>125</v>
      </c>
      <c r="R14" t="s">
        <v>126</v>
      </c>
      <c r="S14" t="str">
        <f t="shared" si="0"/>
        <v>45-54</v>
      </c>
    </row>
    <row r="15" spans="1:19" x14ac:dyDescent="0.3">
      <c r="A15">
        <v>14</v>
      </c>
      <c r="B15" t="s">
        <v>127</v>
      </c>
      <c r="C15" t="s">
        <v>128</v>
      </c>
      <c r="D15" t="s">
        <v>105</v>
      </c>
      <c r="E15" t="s">
        <v>28</v>
      </c>
      <c r="F15">
        <v>32</v>
      </c>
      <c r="G15" t="s">
        <v>64</v>
      </c>
      <c r="H15">
        <v>23</v>
      </c>
      <c r="I15" t="s">
        <v>118</v>
      </c>
      <c r="J15" t="s">
        <v>44</v>
      </c>
      <c r="K15" t="s">
        <v>44</v>
      </c>
      <c r="L15" t="s">
        <v>33</v>
      </c>
      <c r="M15">
        <v>301574</v>
      </c>
      <c r="N15" t="s">
        <v>56</v>
      </c>
      <c r="O15" t="s">
        <v>35</v>
      </c>
      <c r="P15" t="s">
        <v>101</v>
      </c>
      <c r="Q15" t="s">
        <v>129</v>
      </c>
      <c r="R15" t="s">
        <v>83</v>
      </c>
      <c r="S15" t="str">
        <f t="shared" si="0"/>
        <v>25-34</v>
      </c>
    </row>
    <row r="16" spans="1:19" x14ac:dyDescent="0.3">
      <c r="A16">
        <v>15</v>
      </c>
      <c r="B16" t="s">
        <v>130</v>
      </c>
      <c r="C16" t="s">
        <v>110</v>
      </c>
      <c r="D16" t="s">
        <v>131</v>
      </c>
      <c r="E16" t="s">
        <v>51</v>
      </c>
      <c r="F16">
        <v>48</v>
      </c>
      <c r="G16" t="s">
        <v>107</v>
      </c>
      <c r="H16">
        <v>30</v>
      </c>
      <c r="I16" t="s">
        <v>132</v>
      </c>
      <c r="J16" t="s">
        <v>94</v>
      </c>
      <c r="K16" t="s">
        <v>133</v>
      </c>
      <c r="L16" t="s">
        <v>67</v>
      </c>
      <c r="M16">
        <v>283586</v>
      </c>
      <c r="N16" t="s">
        <v>34</v>
      </c>
      <c r="O16" t="s">
        <v>35</v>
      </c>
      <c r="P16" t="s">
        <v>68</v>
      </c>
      <c r="Q16" t="s">
        <v>134</v>
      </c>
      <c r="R16" t="s">
        <v>103</v>
      </c>
      <c r="S16" t="str">
        <f t="shared" si="0"/>
        <v>45-54</v>
      </c>
    </row>
    <row r="17" spans="1:19" x14ac:dyDescent="0.3">
      <c r="A17">
        <v>16</v>
      </c>
      <c r="B17" t="s">
        <v>135</v>
      </c>
      <c r="C17" t="s">
        <v>136</v>
      </c>
      <c r="D17" t="s">
        <v>71</v>
      </c>
      <c r="E17" t="s">
        <v>51</v>
      </c>
      <c r="F17">
        <v>59</v>
      </c>
      <c r="G17" t="s">
        <v>107</v>
      </c>
      <c r="H17">
        <v>2</v>
      </c>
      <c r="I17" t="s">
        <v>73</v>
      </c>
      <c r="J17" t="s">
        <v>44</v>
      </c>
      <c r="K17" t="s">
        <v>45</v>
      </c>
      <c r="L17" t="s">
        <v>55</v>
      </c>
      <c r="M17">
        <v>143904</v>
      </c>
      <c r="N17" t="s">
        <v>34</v>
      </c>
      <c r="O17" t="s">
        <v>35</v>
      </c>
      <c r="P17" t="s">
        <v>101</v>
      </c>
      <c r="Q17" t="s">
        <v>129</v>
      </c>
      <c r="R17" t="s">
        <v>38</v>
      </c>
      <c r="S17" t="str">
        <f t="shared" si="0"/>
        <v>55-65</v>
      </c>
    </row>
    <row r="18" spans="1:19" x14ac:dyDescent="0.3">
      <c r="A18">
        <v>17</v>
      </c>
      <c r="B18" t="s">
        <v>137</v>
      </c>
      <c r="C18" t="s">
        <v>138</v>
      </c>
      <c r="D18" t="s">
        <v>131</v>
      </c>
      <c r="E18" t="s">
        <v>28</v>
      </c>
      <c r="F18">
        <v>33</v>
      </c>
      <c r="G18" t="s">
        <v>139</v>
      </c>
      <c r="H18">
        <v>6</v>
      </c>
      <c r="I18" t="s">
        <v>140</v>
      </c>
      <c r="J18" t="s">
        <v>53</v>
      </c>
      <c r="K18" t="s">
        <v>141</v>
      </c>
      <c r="L18" t="s">
        <v>46</v>
      </c>
      <c r="M18">
        <v>283768</v>
      </c>
      <c r="N18" t="s">
        <v>34</v>
      </c>
      <c r="O18" t="s">
        <v>35</v>
      </c>
      <c r="P18" t="s">
        <v>101</v>
      </c>
      <c r="Q18" t="s">
        <v>82</v>
      </c>
      <c r="R18" t="s">
        <v>126</v>
      </c>
      <c r="S18" t="str">
        <f t="shared" si="0"/>
        <v>25-34</v>
      </c>
    </row>
    <row r="19" spans="1:19" x14ac:dyDescent="0.3">
      <c r="A19">
        <v>18</v>
      </c>
      <c r="B19" t="s">
        <v>116</v>
      </c>
      <c r="C19" t="s">
        <v>142</v>
      </c>
      <c r="D19" t="s">
        <v>143</v>
      </c>
      <c r="E19" t="s">
        <v>28</v>
      </c>
      <c r="F19">
        <v>31</v>
      </c>
      <c r="G19" t="s">
        <v>144</v>
      </c>
      <c r="H19">
        <v>14</v>
      </c>
      <c r="I19" t="s">
        <v>118</v>
      </c>
      <c r="J19" t="s">
        <v>123</v>
      </c>
      <c r="K19" t="s">
        <v>145</v>
      </c>
      <c r="L19" t="s">
        <v>33</v>
      </c>
      <c r="M19">
        <v>61800</v>
      </c>
      <c r="N19" t="s">
        <v>96</v>
      </c>
      <c r="O19" t="s">
        <v>57</v>
      </c>
      <c r="P19" t="s">
        <v>58</v>
      </c>
      <c r="Q19" t="s">
        <v>59</v>
      </c>
      <c r="R19" t="s">
        <v>103</v>
      </c>
      <c r="S19" t="str">
        <f t="shared" si="0"/>
        <v>25-34</v>
      </c>
    </row>
    <row r="20" spans="1:19" x14ac:dyDescent="0.3">
      <c r="A20">
        <v>19</v>
      </c>
      <c r="B20" t="s">
        <v>135</v>
      </c>
      <c r="C20" t="s">
        <v>146</v>
      </c>
      <c r="D20" t="s">
        <v>106</v>
      </c>
      <c r="E20" t="s">
        <v>51</v>
      </c>
      <c r="F20">
        <v>27</v>
      </c>
      <c r="G20" t="s">
        <v>42</v>
      </c>
      <c r="H20">
        <v>22</v>
      </c>
      <c r="I20" t="s">
        <v>43</v>
      </c>
      <c r="J20" t="s">
        <v>44</v>
      </c>
      <c r="K20" t="s">
        <v>88</v>
      </c>
      <c r="L20" t="s">
        <v>33</v>
      </c>
      <c r="M20">
        <v>80107</v>
      </c>
      <c r="N20" t="s">
        <v>56</v>
      </c>
      <c r="O20" t="s">
        <v>75</v>
      </c>
      <c r="P20" t="s">
        <v>68</v>
      </c>
      <c r="Q20" t="s">
        <v>147</v>
      </c>
      <c r="R20" t="s">
        <v>126</v>
      </c>
      <c r="S20" t="str">
        <f t="shared" si="0"/>
        <v>25-34</v>
      </c>
    </row>
    <row r="21" spans="1:19" x14ac:dyDescent="0.3">
      <c r="A21">
        <v>20</v>
      </c>
      <c r="B21" t="s">
        <v>148</v>
      </c>
      <c r="C21" t="s">
        <v>149</v>
      </c>
      <c r="D21" t="s">
        <v>149</v>
      </c>
      <c r="E21" t="s">
        <v>28</v>
      </c>
      <c r="F21">
        <v>28</v>
      </c>
      <c r="G21" t="s">
        <v>150</v>
      </c>
      <c r="H21">
        <v>16</v>
      </c>
      <c r="I21" t="s">
        <v>112</v>
      </c>
      <c r="J21" t="s">
        <v>94</v>
      </c>
      <c r="K21" t="s">
        <v>151</v>
      </c>
      <c r="L21" t="s">
        <v>67</v>
      </c>
      <c r="M21">
        <v>32638</v>
      </c>
      <c r="N21" t="s">
        <v>34</v>
      </c>
      <c r="O21" t="s">
        <v>75</v>
      </c>
      <c r="P21" t="s">
        <v>97</v>
      </c>
      <c r="Q21" t="s">
        <v>152</v>
      </c>
      <c r="R21" t="s">
        <v>60</v>
      </c>
      <c r="S21" t="str">
        <f t="shared" si="0"/>
        <v>25-34</v>
      </c>
    </row>
    <row r="22" spans="1:19" x14ac:dyDescent="0.3">
      <c r="A22">
        <v>21</v>
      </c>
      <c r="B22" t="s">
        <v>153</v>
      </c>
      <c r="C22" t="s">
        <v>62</v>
      </c>
      <c r="D22" t="s">
        <v>85</v>
      </c>
      <c r="E22" t="s">
        <v>28</v>
      </c>
      <c r="F22">
        <v>57</v>
      </c>
      <c r="G22" t="s">
        <v>29</v>
      </c>
      <c r="H22">
        <v>19</v>
      </c>
      <c r="I22" t="s">
        <v>30</v>
      </c>
      <c r="J22" t="s">
        <v>94</v>
      </c>
      <c r="K22" t="s">
        <v>100</v>
      </c>
      <c r="L22" t="s">
        <v>46</v>
      </c>
      <c r="M22">
        <v>231794</v>
      </c>
      <c r="N22" t="s">
        <v>56</v>
      </c>
      <c r="O22" t="s">
        <v>57</v>
      </c>
      <c r="P22" t="s">
        <v>101</v>
      </c>
      <c r="Q22" t="s">
        <v>82</v>
      </c>
      <c r="R22" t="s">
        <v>83</v>
      </c>
      <c r="S22" t="str">
        <f t="shared" si="0"/>
        <v>55-65</v>
      </c>
    </row>
    <row r="23" spans="1:19" x14ac:dyDescent="0.3">
      <c r="A23">
        <v>22</v>
      </c>
      <c r="B23" t="s">
        <v>148</v>
      </c>
      <c r="C23" t="s">
        <v>143</v>
      </c>
      <c r="D23" t="s">
        <v>154</v>
      </c>
      <c r="E23" t="s">
        <v>28</v>
      </c>
      <c r="F23">
        <v>37</v>
      </c>
      <c r="G23" t="s">
        <v>139</v>
      </c>
      <c r="H23">
        <v>5</v>
      </c>
      <c r="I23" t="s">
        <v>140</v>
      </c>
      <c r="J23" t="s">
        <v>44</v>
      </c>
      <c r="K23" t="s">
        <v>45</v>
      </c>
      <c r="L23" t="s">
        <v>33</v>
      </c>
      <c r="M23">
        <v>325511</v>
      </c>
      <c r="N23" t="s">
        <v>34</v>
      </c>
      <c r="O23" t="s">
        <v>57</v>
      </c>
      <c r="P23" t="s">
        <v>89</v>
      </c>
      <c r="Q23" t="s">
        <v>155</v>
      </c>
      <c r="R23" t="s">
        <v>126</v>
      </c>
      <c r="S23" t="str">
        <f t="shared" si="0"/>
        <v>35-44</v>
      </c>
    </row>
    <row r="24" spans="1:19" x14ac:dyDescent="0.3">
      <c r="A24">
        <v>23</v>
      </c>
      <c r="B24" t="s">
        <v>156</v>
      </c>
      <c r="C24" t="s">
        <v>110</v>
      </c>
      <c r="D24" t="s">
        <v>157</v>
      </c>
      <c r="E24" t="s">
        <v>28</v>
      </c>
      <c r="F24">
        <v>40</v>
      </c>
      <c r="G24" t="s">
        <v>42</v>
      </c>
      <c r="H24">
        <v>9</v>
      </c>
      <c r="I24" t="s">
        <v>43</v>
      </c>
      <c r="J24" t="s">
        <v>31</v>
      </c>
      <c r="K24" t="s">
        <v>158</v>
      </c>
      <c r="L24" t="s">
        <v>67</v>
      </c>
      <c r="M24">
        <v>132487</v>
      </c>
      <c r="N24" t="s">
        <v>96</v>
      </c>
      <c r="O24" t="s">
        <v>75</v>
      </c>
      <c r="P24" t="s">
        <v>101</v>
      </c>
      <c r="Q24" t="s">
        <v>125</v>
      </c>
      <c r="R24" t="s">
        <v>83</v>
      </c>
      <c r="S24" t="str">
        <f t="shared" si="0"/>
        <v>35-44</v>
      </c>
    </row>
    <row r="25" spans="1:19" x14ac:dyDescent="0.3">
      <c r="A25">
        <v>24</v>
      </c>
      <c r="B25" t="s">
        <v>159</v>
      </c>
      <c r="C25" t="s">
        <v>160</v>
      </c>
      <c r="D25" t="s">
        <v>121</v>
      </c>
      <c r="E25" t="s">
        <v>28</v>
      </c>
      <c r="F25">
        <v>24</v>
      </c>
      <c r="G25" t="s">
        <v>64</v>
      </c>
      <c r="H25">
        <v>5</v>
      </c>
      <c r="I25" t="s">
        <v>65</v>
      </c>
      <c r="J25" t="s">
        <v>53</v>
      </c>
      <c r="K25" t="s">
        <v>54</v>
      </c>
      <c r="L25" t="s">
        <v>46</v>
      </c>
      <c r="M25">
        <v>98960</v>
      </c>
      <c r="N25" t="s">
        <v>115</v>
      </c>
      <c r="O25" t="s">
        <v>75</v>
      </c>
      <c r="P25" t="s">
        <v>36</v>
      </c>
      <c r="Q25" t="s">
        <v>161</v>
      </c>
      <c r="R25" t="s">
        <v>83</v>
      </c>
      <c r="S25" t="str">
        <f t="shared" si="0"/>
        <v>18-24</v>
      </c>
    </row>
    <row r="26" spans="1:19" x14ac:dyDescent="0.3">
      <c r="A26">
        <v>25</v>
      </c>
      <c r="B26" t="s">
        <v>162</v>
      </c>
      <c r="C26" t="s">
        <v>163</v>
      </c>
      <c r="D26" t="s">
        <v>117</v>
      </c>
      <c r="E26" t="s">
        <v>28</v>
      </c>
      <c r="F26">
        <v>23</v>
      </c>
      <c r="G26" t="s">
        <v>79</v>
      </c>
      <c r="H26">
        <v>29</v>
      </c>
      <c r="I26" t="s">
        <v>80</v>
      </c>
      <c r="J26" t="s">
        <v>164</v>
      </c>
      <c r="K26" t="s">
        <v>164</v>
      </c>
      <c r="L26" t="s">
        <v>55</v>
      </c>
      <c r="M26">
        <v>20210</v>
      </c>
      <c r="N26" t="s">
        <v>115</v>
      </c>
      <c r="O26" t="s">
        <v>75</v>
      </c>
      <c r="P26" t="s">
        <v>58</v>
      </c>
      <c r="Q26" t="s">
        <v>165</v>
      </c>
      <c r="R26" t="s">
        <v>83</v>
      </c>
      <c r="S26" t="str">
        <f t="shared" si="0"/>
        <v>18-24</v>
      </c>
    </row>
    <row r="27" spans="1:19" x14ac:dyDescent="0.3">
      <c r="A27">
        <v>26</v>
      </c>
      <c r="B27" t="s">
        <v>166</v>
      </c>
      <c r="C27" t="s">
        <v>167</v>
      </c>
      <c r="D27" t="s">
        <v>86</v>
      </c>
      <c r="E27" t="s">
        <v>28</v>
      </c>
      <c r="F27">
        <v>22</v>
      </c>
      <c r="G27" t="s">
        <v>139</v>
      </c>
      <c r="H27">
        <v>18</v>
      </c>
      <c r="I27" t="s">
        <v>140</v>
      </c>
      <c r="J27" t="s">
        <v>113</v>
      </c>
      <c r="K27" t="s">
        <v>168</v>
      </c>
      <c r="L27" t="s">
        <v>55</v>
      </c>
      <c r="M27">
        <v>17430</v>
      </c>
      <c r="N27" t="s">
        <v>56</v>
      </c>
      <c r="O27" t="s">
        <v>75</v>
      </c>
      <c r="P27" t="s">
        <v>169</v>
      </c>
      <c r="Q27" t="s">
        <v>170</v>
      </c>
      <c r="R27" t="s">
        <v>38</v>
      </c>
      <c r="S27" t="str">
        <f t="shared" si="0"/>
        <v>18-24</v>
      </c>
    </row>
    <row r="28" spans="1:19" x14ac:dyDescent="0.3">
      <c r="A28">
        <v>27</v>
      </c>
      <c r="B28" t="s">
        <v>171</v>
      </c>
      <c r="C28" t="s">
        <v>172</v>
      </c>
      <c r="D28" t="s">
        <v>160</v>
      </c>
      <c r="E28" t="s">
        <v>51</v>
      </c>
      <c r="F28">
        <v>40</v>
      </c>
      <c r="G28" t="s">
        <v>87</v>
      </c>
      <c r="H28">
        <v>29</v>
      </c>
      <c r="I28" t="s">
        <v>140</v>
      </c>
      <c r="J28" t="s">
        <v>164</v>
      </c>
      <c r="K28" t="s">
        <v>164</v>
      </c>
      <c r="L28" t="s">
        <v>55</v>
      </c>
      <c r="M28">
        <v>235092</v>
      </c>
      <c r="N28" t="s">
        <v>56</v>
      </c>
      <c r="O28" t="s">
        <v>57</v>
      </c>
      <c r="P28" t="s">
        <v>68</v>
      </c>
      <c r="Q28" t="s">
        <v>173</v>
      </c>
      <c r="R28" t="s">
        <v>126</v>
      </c>
      <c r="S28" t="str">
        <f t="shared" si="0"/>
        <v>35-44</v>
      </c>
    </row>
    <row r="29" spans="1:19" x14ac:dyDescent="0.3">
      <c r="A29">
        <v>28</v>
      </c>
      <c r="B29" t="s">
        <v>174</v>
      </c>
      <c r="C29" t="s">
        <v>66</v>
      </c>
      <c r="D29" t="s">
        <v>175</v>
      </c>
      <c r="E29" t="s">
        <v>28</v>
      </c>
      <c r="F29">
        <v>39</v>
      </c>
      <c r="G29" t="s">
        <v>139</v>
      </c>
      <c r="H29">
        <v>1</v>
      </c>
      <c r="I29" t="s">
        <v>140</v>
      </c>
      <c r="J29" t="s">
        <v>31</v>
      </c>
      <c r="K29" t="s">
        <v>32</v>
      </c>
      <c r="L29" t="s">
        <v>33</v>
      </c>
      <c r="M29">
        <v>97048</v>
      </c>
      <c r="N29" t="s">
        <v>96</v>
      </c>
      <c r="O29" t="s">
        <v>35</v>
      </c>
      <c r="P29" t="s">
        <v>58</v>
      </c>
      <c r="Q29" t="s">
        <v>176</v>
      </c>
      <c r="R29" t="s">
        <v>103</v>
      </c>
      <c r="S29" t="str">
        <f t="shared" si="0"/>
        <v>35-44</v>
      </c>
    </row>
    <row r="30" spans="1:19" x14ac:dyDescent="0.3">
      <c r="A30">
        <v>29</v>
      </c>
      <c r="B30" t="s">
        <v>177</v>
      </c>
      <c r="C30" t="s">
        <v>71</v>
      </c>
      <c r="D30" t="s">
        <v>178</v>
      </c>
      <c r="E30" t="s">
        <v>28</v>
      </c>
      <c r="F30">
        <v>32</v>
      </c>
      <c r="G30" t="s">
        <v>79</v>
      </c>
      <c r="H30">
        <v>27</v>
      </c>
      <c r="I30" t="s">
        <v>80</v>
      </c>
      <c r="J30" t="s">
        <v>164</v>
      </c>
      <c r="K30" t="s">
        <v>179</v>
      </c>
      <c r="L30" t="s">
        <v>55</v>
      </c>
      <c r="M30">
        <v>142471</v>
      </c>
      <c r="N30" t="s">
        <v>34</v>
      </c>
      <c r="O30" t="s">
        <v>57</v>
      </c>
      <c r="P30" t="s">
        <v>97</v>
      </c>
      <c r="Q30" t="s">
        <v>180</v>
      </c>
      <c r="R30" t="s">
        <v>83</v>
      </c>
      <c r="S30" t="str">
        <f t="shared" si="0"/>
        <v>25-34</v>
      </c>
    </row>
    <row r="31" spans="1:19" x14ac:dyDescent="0.3">
      <c r="A31">
        <v>30</v>
      </c>
      <c r="B31" t="s">
        <v>61</v>
      </c>
      <c r="C31" t="s">
        <v>181</v>
      </c>
      <c r="D31" t="s">
        <v>41</v>
      </c>
      <c r="E31" t="s">
        <v>51</v>
      </c>
      <c r="F31">
        <v>34</v>
      </c>
      <c r="G31" t="s">
        <v>64</v>
      </c>
      <c r="H31">
        <v>9</v>
      </c>
      <c r="I31" t="s">
        <v>65</v>
      </c>
      <c r="J31" t="s">
        <v>31</v>
      </c>
      <c r="K31" t="s">
        <v>182</v>
      </c>
      <c r="L31" t="s">
        <v>55</v>
      </c>
      <c r="M31">
        <v>210817</v>
      </c>
      <c r="N31" t="s">
        <v>47</v>
      </c>
      <c r="O31" t="s">
        <v>57</v>
      </c>
      <c r="P31" t="s">
        <v>97</v>
      </c>
      <c r="Q31" t="s">
        <v>98</v>
      </c>
      <c r="R31" t="s">
        <v>126</v>
      </c>
      <c r="S31" t="str">
        <f t="shared" si="0"/>
        <v>25-34</v>
      </c>
    </row>
    <row r="32" spans="1:19" x14ac:dyDescent="0.3">
      <c r="A32">
        <v>31</v>
      </c>
      <c r="B32" t="s">
        <v>70</v>
      </c>
      <c r="C32" t="s">
        <v>85</v>
      </c>
      <c r="D32" t="s">
        <v>183</v>
      </c>
      <c r="E32" t="s">
        <v>28</v>
      </c>
      <c r="F32">
        <v>18</v>
      </c>
      <c r="G32" t="s">
        <v>79</v>
      </c>
      <c r="H32">
        <v>2</v>
      </c>
      <c r="I32" t="s">
        <v>52</v>
      </c>
      <c r="J32" t="s">
        <v>44</v>
      </c>
      <c r="K32" t="s">
        <v>184</v>
      </c>
      <c r="L32" t="s">
        <v>67</v>
      </c>
      <c r="M32">
        <v>241966</v>
      </c>
      <c r="N32" t="s">
        <v>47</v>
      </c>
      <c r="O32" t="s">
        <v>57</v>
      </c>
      <c r="P32" t="s">
        <v>36</v>
      </c>
      <c r="Q32" t="s">
        <v>185</v>
      </c>
      <c r="R32" t="s">
        <v>60</v>
      </c>
      <c r="S32" t="str">
        <f t="shared" si="0"/>
        <v>18-24</v>
      </c>
    </row>
    <row r="33" spans="1:19" x14ac:dyDescent="0.3">
      <c r="A33">
        <v>32</v>
      </c>
      <c r="B33" t="s">
        <v>186</v>
      </c>
      <c r="C33" t="s">
        <v>187</v>
      </c>
      <c r="D33" t="s">
        <v>121</v>
      </c>
      <c r="E33" t="s">
        <v>51</v>
      </c>
      <c r="F33">
        <v>60</v>
      </c>
      <c r="G33" t="s">
        <v>64</v>
      </c>
      <c r="H33">
        <v>24</v>
      </c>
      <c r="I33" t="s">
        <v>118</v>
      </c>
      <c r="J33" t="s">
        <v>53</v>
      </c>
      <c r="K33" t="s">
        <v>188</v>
      </c>
      <c r="L33" t="s">
        <v>55</v>
      </c>
      <c r="M33">
        <v>143828</v>
      </c>
      <c r="N33" t="s">
        <v>56</v>
      </c>
      <c r="O33" t="s">
        <v>35</v>
      </c>
      <c r="P33" t="s">
        <v>58</v>
      </c>
      <c r="Q33" t="s">
        <v>165</v>
      </c>
      <c r="R33" t="s">
        <v>38</v>
      </c>
      <c r="S33" t="str">
        <f t="shared" si="0"/>
        <v>55-65</v>
      </c>
    </row>
    <row r="34" spans="1:19" x14ac:dyDescent="0.3">
      <c r="A34">
        <v>33</v>
      </c>
      <c r="B34" t="s">
        <v>99</v>
      </c>
      <c r="C34" t="s">
        <v>189</v>
      </c>
      <c r="D34" t="s">
        <v>26</v>
      </c>
      <c r="E34" t="s">
        <v>51</v>
      </c>
      <c r="F34">
        <v>43</v>
      </c>
      <c r="G34" t="s">
        <v>144</v>
      </c>
      <c r="H34">
        <v>20</v>
      </c>
      <c r="I34" t="s">
        <v>118</v>
      </c>
      <c r="J34" t="s">
        <v>94</v>
      </c>
      <c r="K34" t="s">
        <v>190</v>
      </c>
      <c r="L34" t="s">
        <v>67</v>
      </c>
      <c r="M34">
        <v>109837</v>
      </c>
      <c r="N34" t="s">
        <v>96</v>
      </c>
      <c r="O34" t="s">
        <v>75</v>
      </c>
      <c r="P34" t="s">
        <v>36</v>
      </c>
      <c r="Q34" t="s">
        <v>37</v>
      </c>
      <c r="R34" t="s">
        <v>126</v>
      </c>
      <c r="S34" t="str">
        <f t="shared" si="0"/>
        <v>35-44</v>
      </c>
    </row>
    <row r="35" spans="1:19" x14ac:dyDescent="0.3">
      <c r="A35">
        <v>34</v>
      </c>
      <c r="B35" t="s">
        <v>191</v>
      </c>
      <c r="C35" t="s">
        <v>138</v>
      </c>
      <c r="D35" t="s">
        <v>138</v>
      </c>
      <c r="E35" t="s">
        <v>51</v>
      </c>
      <c r="F35">
        <v>65</v>
      </c>
      <c r="G35" t="s">
        <v>72</v>
      </c>
      <c r="H35">
        <v>7</v>
      </c>
      <c r="I35" t="s">
        <v>122</v>
      </c>
      <c r="J35" t="s">
        <v>94</v>
      </c>
      <c r="K35" t="s">
        <v>95</v>
      </c>
      <c r="L35" t="s">
        <v>46</v>
      </c>
      <c r="M35">
        <v>102906</v>
      </c>
      <c r="N35" t="s">
        <v>47</v>
      </c>
      <c r="O35" t="s">
        <v>35</v>
      </c>
      <c r="P35" t="s">
        <v>169</v>
      </c>
      <c r="Q35" t="s">
        <v>192</v>
      </c>
      <c r="R35" t="s">
        <v>38</v>
      </c>
      <c r="S35" t="str">
        <f t="shared" si="0"/>
        <v>55-65</v>
      </c>
    </row>
    <row r="36" spans="1:19" x14ac:dyDescent="0.3">
      <c r="A36">
        <v>35</v>
      </c>
      <c r="B36" t="s">
        <v>193</v>
      </c>
      <c r="C36" t="s">
        <v>183</v>
      </c>
      <c r="D36" t="s">
        <v>50</v>
      </c>
      <c r="E36" t="s">
        <v>51</v>
      </c>
      <c r="F36">
        <v>57</v>
      </c>
      <c r="G36" t="s">
        <v>194</v>
      </c>
      <c r="H36">
        <v>2</v>
      </c>
      <c r="I36" t="s">
        <v>132</v>
      </c>
      <c r="J36" t="s">
        <v>31</v>
      </c>
      <c r="K36" t="s">
        <v>195</v>
      </c>
      <c r="L36" t="s">
        <v>46</v>
      </c>
      <c r="M36">
        <v>147982</v>
      </c>
      <c r="N36" t="s">
        <v>115</v>
      </c>
      <c r="O36" t="s">
        <v>75</v>
      </c>
      <c r="P36" t="s">
        <v>101</v>
      </c>
      <c r="Q36" t="s">
        <v>82</v>
      </c>
      <c r="R36" t="s">
        <v>103</v>
      </c>
      <c r="S36" t="str">
        <f t="shared" si="0"/>
        <v>55-65</v>
      </c>
    </row>
    <row r="37" spans="1:19" x14ac:dyDescent="0.3">
      <c r="A37">
        <v>36</v>
      </c>
      <c r="B37" t="s">
        <v>196</v>
      </c>
      <c r="C37" t="s">
        <v>143</v>
      </c>
      <c r="D37" t="s">
        <v>50</v>
      </c>
      <c r="E37" t="s">
        <v>51</v>
      </c>
      <c r="F37">
        <v>45</v>
      </c>
      <c r="G37" t="s">
        <v>72</v>
      </c>
      <c r="H37">
        <v>23</v>
      </c>
      <c r="I37" t="s">
        <v>73</v>
      </c>
      <c r="J37" t="s">
        <v>113</v>
      </c>
      <c r="K37" t="s">
        <v>168</v>
      </c>
      <c r="L37" t="s">
        <v>46</v>
      </c>
      <c r="M37">
        <v>282418</v>
      </c>
      <c r="N37" t="s">
        <v>96</v>
      </c>
      <c r="O37" t="s">
        <v>35</v>
      </c>
      <c r="P37" t="s">
        <v>68</v>
      </c>
      <c r="Q37" t="s">
        <v>173</v>
      </c>
      <c r="R37" t="s">
        <v>126</v>
      </c>
      <c r="S37" t="str">
        <f t="shared" si="0"/>
        <v>45-54</v>
      </c>
    </row>
    <row r="38" spans="1:19" x14ac:dyDescent="0.3">
      <c r="A38">
        <v>37</v>
      </c>
      <c r="B38" t="s">
        <v>197</v>
      </c>
      <c r="C38" t="s">
        <v>71</v>
      </c>
      <c r="D38" t="s">
        <v>131</v>
      </c>
      <c r="E38" t="s">
        <v>28</v>
      </c>
      <c r="F38">
        <v>56</v>
      </c>
      <c r="G38" t="s">
        <v>198</v>
      </c>
      <c r="H38">
        <v>22</v>
      </c>
      <c r="I38" t="s">
        <v>199</v>
      </c>
      <c r="J38" t="s">
        <v>94</v>
      </c>
      <c r="K38" t="s">
        <v>151</v>
      </c>
      <c r="L38" t="s">
        <v>46</v>
      </c>
      <c r="M38">
        <v>216365</v>
      </c>
      <c r="N38" t="s">
        <v>96</v>
      </c>
      <c r="O38" t="s">
        <v>75</v>
      </c>
      <c r="P38" t="s">
        <v>76</v>
      </c>
      <c r="Q38" t="s">
        <v>200</v>
      </c>
      <c r="R38" t="s">
        <v>103</v>
      </c>
      <c r="S38" t="str">
        <f t="shared" si="0"/>
        <v>55-65</v>
      </c>
    </row>
    <row r="39" spans="1:19" x14ac:dyDescent="0.3">
      <c r="A39">
        <v>38</v>
      </c>
      <c r="B39" t="s">
        <v>201</v>
      </c>
      <c r="C39" t="s">
        <v>138</v>
      </c>
      <c r="D39" t="s">
        <v>154</v>
      </c>
      <c r="E39" t="s">
        <v>28</v>
      </c>
      <c r="F39">
        <v>51</v>
      </c>
      <c r="G39" t="s">
        <v>29</v>
      </c>
      <c r="H39">
        <v>27</v>
      </c>
      <c r="I39" t="s">
        <v>52</v>
      </c>
      <c r="J39" t="s">
        <v>44</v>
      </c>
      <c r="K39" t="s">
        <v>202</v>
      </c>
      <c r="L39" t="s">
        <v>33</v>
      </c>
      <c r="M39">
        <v>99736</v>
      </c>
      <c r="N39" t="s">
        <v>47</v>
      </c>
      <c r="O39" t="s">
        <v>35</v>
      </c>
      <c r="P39" t="s">
        <v>89</v>
      </c>
      <c r="Q39" t="s">
        <v>90</v>
      </c>
      <c r="R39" t="s">
        <v>83</v>
      </c>
      <c r="S39" t="str">
        <f t="shared" si="0"/>
        <v>45-54</v>
      </c>
    </row>
    <row r="40" spans="1:19" x14ac:dyDescent="0.3">
      <c r="A40">
        <v>39</v>
      </c>
      <c r="B40" t="s">
        <v>203</v>
      </c>
      <c r="C40" t="s">
        <v>110</v>
      </c>
      <c r="D40" t="s">
        <v>204</v>
      </c>
      <c r="E40" t="s">
        <v>51</v>
      </c>
      <c r="F40">
        <v>62</v>
      </c>
      <c r="G40" t="s">
        <v>144</v>
      </c>
      <c r="H40">
        <v>5</v>
      </c>
      <c r="I40" t="s">
        <v>118</v>
      </c>
      <c r="J40" t="s">
        <v>31</v>
      </c>
      <c r="K40" t="s">
        <v>205</v>
      </c>
      <c r="L40" t="s">
        <v>206</v>
      </c>
      <c r="M40">
        <v>27159</v>
      </c>
      <c r="N40" t="s">
        <v>47</v>
      </c>
      <c r="O40" t="s">
        <v>75</v>
      </c>
      <c r="P40" t="s">
        <v>169</v>
      </c>
      <c r="Q40" t="s">
        <v>207</v>
      </c>
      <c r="R40" t="s">
        <v>103</v>
      </c>
      <c r="S40" t="str">
        <f t="shared" si="0"/>
        <v>55-65</v>
      </c>
    </row>
    <row r="41" spans="1:19" x14ac:dyDescent="0.3">
      <c r="A41">
        <v>40</v>
      </c>
      <c r="B41" t="s">
        <v>208</v>
      </c>
      <c r="C41" t="s">
        <v>157</v>
      </c>
      <c r="D41" t="s">
        <v>136</v>
      </c>
      <c r="E41" t="s">
        <v>51</v>
      </c>
      <c r="F41">
        <v>62</v>
      </c>
      <c r="G41" t="s">
        <v>139</v>
      </c>
      <c r="H41">
        <v>29</v>
      </c>
      <c r="I41" t="s">
        <v>199</v>
      </c>
      <c r="J41" t="s">
        <v>164</v>
      </c>
      <c r="K41" t="s">
        <v>209</v>
      </c>
      <c r="L41" t="s">
        <v>33</v>
      </c>
      <c r="M41">
        <v>136231</v>
      </c>
      <c r="N41" t="s">
        <v>47</v>
      </c>
      <c r="O41" t="s">
        <v>57</v>
      </c>
      <c r="P41" t="s">
        <v>97</v>
      </c>
      <c r="Q41" t="s">
        <v>152</v>
      </c>
      <c r="R41" t="s">
        <v>103</v>
      </c>
      <c r="S41" t="str">
        <f t="shared" si="0"/>
        <v>55-65</v>
      </c>
    </row>
    <row r="42" spans="1:19" x14ac:dyDescent="0.3">
      <c r="A42">
        <v>41</v>
      </c>
      <c r="B42" t="s">
        <v>61</v>
      </c>
      <c r="C42" t="s">
        <v>26</v>
      </c>
      <c r="D42" t="s">
        <v>26</v>
      </c>
      <c r="E42" t="s">
        <v>51</v>
      </c>
      <c r="F42">
        <v>49</v>
      </c>
      <c r="G42" t="s">
        <v>42</v>
      </c>
      <c r="H42">
        <v>26</v>
      </c>
      <c r="I42" t="s">
        <v>112</v>
      </c>
      <c r="J42" t="s">
        <v>94</v>
      </c>
      <c r="K42" t="s">
        <v>210</v>
      </c>
      <c r="L42" t="s">
        <v>33</v>
      </c>
      <c r="M42">
        <v>155363</v>
      </c>
      <c r="N42" t="s">
        <v>96</v>
      </c>
      <c r="O42" t="s">
        <v>57</v>
      </c>
      <c r="P42" t="s">
        <v>68</v>
      </c>
      <c r="Q42" t="s">
        <v>147</v>
      </c>
      <c r="R42" t="s">
        <v>103</v>
      </c>
      <c r="S42" t="str">
        <f t="shared" si="0"/>
        <v>45-54</v>
      </c>
    </row>
    <row r="43" spans="1:19" x14ac:dyDescent="0.3">
      <c r="A43">
        <v>42</v>
      </c>
      <c r="B43" t="s">
        <v>104</v>
      </c>
      <c r="C43" t="s">
        <v>131</v>
      </c>
      <c r="D43" t="s">
        <v>211</v>
      </c>
      <c r="E43" t="s">
        <v>28</v>
      </c>
      <c r="F43">
        <v>54</v>
      </c>
      <c r="G43" t="s">
        <v>42</v>
      </c>
      <c r="H43">
        <v>1</v>
      </c>
      <c r="I43" t="s">
        <v>43</v>
      </c>
      <c r="J43" t="s">
        <v>123</v>
      </c>
      <c r="K43" t="s">
        <v>212</v>
      </c>
      <c r="L43" t="s">
        <v>67</v>
      </c>
      <c r="M43">
        <v>226749</v>
      </c>
      <c r="N43" t="s">
        <v>96</v>
      </c>
      <c r="O43" t="s">
        <v>35</v>
      </c>
      <c r="P43" t="s">
        <v>97</v>
      </c>
      <c r="Q43" t="s">
        <v>98</v>
      </c>
      <c r="R43" t="s">
        <v>60</v>
      </c>
      <c r="S43" t="str">
        <f t="shared" si="0"/>
        <v>45-54</v>
      </c>
    </row>
    <row r="44" spans="1:19" x14ac:dyDescent="0.3">
      <c r="A44">
        <v>43</v>
      </c>
      <c r="B44" t="s">
        <v>99</v>
      </c>
      <c r="C44" t="s">
        <v>187</v>
      </c>
      <c r="D44" t="s">
        <v>157</v>
      </c>
      <c r="E44" t="s">
        <v>51</v>
      </c>
      <c r="F44">
        <v>35</v>
      </c>
      <c r="G44" t="s">
        <v>198</v>
      </c>
      <c r="H44">
        <v>11</v>
      </c>
      <c r="I44" t="s">
        <v>199</v>
      </c>
      <c r="J44" t="s">
        <v>53</v>
      </c>
      <c r="K44" t="s">
        <v>213</v>
      </c>
      <c r="L44" t="s">
        <v>206</v>
      </c>
      <c r="M44">
        <v>293044</v>
      </c>
      <c r="N44" t="s">
        <v>34</v>
      </c>
      <c r="O44" t="s">
        <v>75</v>
      </c>
      <c r="P44" t="s">
        <v>58</v>
      </c>
      <c r="Q44" t="s">
        <v>165</v>
      </c>
      <c r="R44" t="s">
        <v>126</v>
      </c>
      <c r="S44" t="str">
        <f t="shared" si="0"/>
        <v>35-44</v>
      </c>
    </row>
    <row r="45" spans="1:19" x14ac:dyDescent="0.3">
      <c r="A45">
        <v>44</v>
      </c>
      <c r="B45" t="s">
        <v>214</v>
      </c>
      <c r="C45" t="s">
        <v>128</v>
      </c>
      <c r="D45" t="s">
        <v>215</v>
      </c>
      <c r="E45" t="s">
        <v>28</v>
      </c>
      <c r="F45">
        <v>19</v>
      </c>
      <c r="G45" t="s">
        <v>64</v>
      </c>
      <c r="H45">
        <v>25</v>
      </c>
      <c r="I45" t="s">
        <v>118</v>
      </c>
      <c r="J45" t="s">
        <v>44</v>
      </c>
      <c r="K45" t="s">
        <v>44</v>
      </c>
      <c r="L45" t="s">
        <v>46</v>
      </c>
      <c r="M45">
        <v>294534</v>
      </c>
      <c r="N45" t="s">
        <v>115</v>
      </c>
      <c r="O45" t="s">
        <v>35</v>
      </c>
      <c r="P45" t="s">
        <v>68</v>
      </c>
      <c r="Q45" t="s">
        <v>173</v>
      </c>
      <c r="R45" t="s">
        <v>38</v>
      </c>
      <c r="S45" t="str">
        <f t="shared" si="0"/>
        <v>18-24</v>
      </c>
    </row>
    <row r="46" spans="1:19" x14ac:dyDescent="0.3">
      <c r="A46">
        <v>45</v>
      </c>
      <c r="B46" t="s">
        <v>216</v>
      </c>
      <c r="C46" t="s">
        <v>85</v>
      </c>
      <c r="D46" t="s">
        <v>157</v>
      </c>
      <c r="E46" t="s">
        <v>51</v>
      </c>
      <c r="F46">
        <v>28</v>
      </c>
      <c r="G46" t="s">
        <v>198</v>
      </c>
      <c r="H46">
        <v>23</v>
      </c>
      <c r="I46" t="s">
        <v>43</v>
      </c>
      <c r="J46" t="s">
        <v>53</v>
      </c>
      <c r="K46" t="s">
        <v>66</v>
      </c>
      <c r="L46" t="s">
        <v>33</v>
      </c>
      <c r="M46">
        <v>337488</v>
      </c>
      <c r="N46" t="s">
        <v>115</v>
      </c>
      <c r="O46" t="s">
        <v>57</v>
      </c>
      <c r="P46" t="s">
        <v>217</v>
      </c>
      <c r="Q46" t="s">
        <v>218</v>
      </c>
      <c r="R46" t="s">
        <v>60</v>
      </c>
      <c r="S46" t="str">
        <f t="shared" si="0"/>
        <v>25-34</v>
      </c>
    </row>
    <row r="47" spans="1:19" x14ac:dyDescent="0.3">
      <c r="A47">
        <v>46</v>
      </c>
      <c r="B47" t="s">
        <v>120</v>
      </c>
      <c r="C47" t="s">
        <v>85</v>
      </c>
      <c r="D47" t="s">
        <v>189</v>
      </c>
      <c r="E47" t="s">
        <v>28</v>
      </c>
      <c r="F47">
        <v>22</v>
      </c>
      <c r="G47" t="s">
        <v>139</v>
      </c>
      <c r="H47">
        <v>13</v>
      </c>
      <c r="I47" t="s">
        <v>140</v>
      </c>
      <c r="J47" t="s">
        <v>44</v>
      </c>
      <c r="K47" t="s">
        <v>219</v>
      </c>
      <c r="L47" t="s">
        <v>55</v>
      </c>
      <c r="M47">
        <v>40156</v>
      </c>
      <c r="N47" t="s">
        <v>56</v>
      </c>
      <c r="O47" t="s">
        <v>35</v>
      </c>
      <c r="P47" t="s">
        <v>217</v>
      </c>
      <c r="Q47" t="s">
        <v>220</v>
      </c>
      <c r="R47" t="s">
        <v>126</v>
      </c>
      <c r="S47" t="str">
        <f t="shared" si="0"/>
        <v>18-24</v>
      </c>
    </row>
    <row r="48" spans="1:19" x14ac:dyDescent="0.3">
      <c r="A48">
        <v>47</v>
      </c>
      <c r="B48" t="s">
        <v>214</v>
      </c>
      <c r="C48" t="s">
        <v>110</v>
      </c>
      <c r="D48" t="s">
        <v>221</v>
      </c>
      <c r="E48" t="s">
        <v>28</v>
      </c>
      <c r="F48">
        <v>18</v>
      </c>
      <c r="G48" t="s">
        <v>72</v>
      </c>
      <c r="H48">
        <v>12</v>
      </c>
      <c r="I48" t="s">
        <v>122</v>
      </c>
      <c r="J48" t="s">
        <v>113</v>
      </c>
      <c r="K48" t="s">
        <v>114</v>
      </c>
      <c r="L48" t="s">
        <v>55</v>
      </c>
      <c r="M48">
        <v>41411</v>
      </c>
      <c r="N48" t="s">
        <v>96</v>
      </c>
      <c r="O48" t="s">
        <v>75</v>
      </c>
      <c r="P48" t="s">
        <v>58</v>
      </c>
      <c r="Q48" t="s">
        <v>222</v>
      </c>
      <c r="R48" t="s">
        <v>38</v>
      </c>
      <c r="S48" t="str">
        <f t="shared" si="0"/>
        <v>18-24</v>
      </c>
    </row>
    <row r="49" spans="1:19" x14ac:dyDescent="0.3">
      <c r="A49">
        <v>48</v>
      </c>
      <c r="B49" t="s">
        <v>223</v>
      </c>
      <c r="C49" t="s">
        <v>106</v>
      </c>
      <c r="D49" t="s">
        <v>224</v>
      </c>
      <c r="E49" t="s">
        <v>51</v>
      </c>
      <c r="F49">
        <v>48</v>
      </c>
      <c r="G49" t="s">
        <v>72</v>
      </c>
      <c r="H49">
        <v>9</v>
      </c>
      <c r="I49" t="s">
        <v>122</v>
      </c>
      <c r="J49" t="s">
        <v>94</v>
      </c>
      <c r="K49" t="s">
        <v>151</v>
      </c>
      <c r="L49" t="s">
        <v>46</v>
      </c>
      <c r="M49">
        <v>289878</v>
      </c>
      <c r="N49" t="s">
        <v>47</v>
      </c>
      <c r="O49" t="s">
        <v>57</v>
      </c>
      <c r="P49" t="s">
        <v>89</v>
      </c>
      <c r="Q49" t="s">
        <v>225</v>
      </c>
      <c r="R49" t="s">
        <v>38</v>
      </c>
      <c r="S49" t="str">
        <f t="shared" si="0"/>
        <v>45-54</v>
      </c>
    </row>
    <row r="50" spans="1:19" x14ac:dyDescent="0.3">
      <c r="A50">
        <v>49</v>
      </c>
      <c r="B50" t="s">
        <v>226</v>
      </c>
      <c r="C50" t="s">
        <v>138</v>
      </c>
      <c r="D50" t="s">
        <v>143</v>
      </c>
      <c r="E50" t="s">
        <v>28</v>
      </c>
      <c r="F50">
        <v>42</v>
      </c>
      <c r="G50" t="s">
        <v>198</v>
      </c>
      <c r="H50">
        <v>19</v>
      </c>
      <c r="I50" t="s">
        <v>199</v>
      </c>
      <c r="J50" t="s">
        <v>94</v>
      </c>
      <c r="K50" t="s">
        <v>227</v>
      </c>
      <c r="L50" t="s">
        <v>55</v>
      </c>
      <c r="M50">
        <v>175536</v>
      </c>
      <c r="N50" t="s">
        <v>115</v>
      </c>
      <c r="O50" t="s">
        <v>57</v>
      </c>
      <c r="P50" t="s">
        <v>76</v>
      </c>
      <c r="Q50" t="s">
        <v>82</v>
      </c>
      <c r="R50" t="s">
        <v>38</v>
      </c>
      <c r="S50" t="str">
        <f t="shared" si="0"/>
        <v>35-44</v>
      </c>
    </row>
    <row r="51" spans="1:19" x14ac:dyDescent="0.3">
      <c r="A51">
        <v>50</v>
      </c>
      <c r="B51" t="s">
        <v>228</v>
      </c>
      <c r="C51" t="s">
        <v>181</v>
      </c>
      <c r="D51" t="s">
        <v>27</v>
      </c>
      <c r="E51" t="s">
        <v>51</v>
      </c>
      <c r="F51">
        <v>51</v>
      </c>
      <c r="G51" t="s">
        <v>150</v>
      </c>
      <c r="H51">
        <v>23</v>
      </c>
      <c r="I51" t="s">
        <v>122</v>
      </c>
      <c r="J51" t="s">
        <v>53</v>
      </c>
      <c r="K51" t="s">
        <v>53</v>
      </c>
      <c r="L51" t="s">
        <v>206</v>
      </c>
      <c r="M51">
        <v>88268</v>
      </c>
      <c r="N51" t="s">
        <v>96</v>
      </c>
      <c r="O51" t="s">
        <v>75</v>
      </c>
      <c r="P51" t="s">
        <v>68</v>
      </c>
      <c r="Q51" t="s">
        <v>69</v>
      </c>
      <c r="R51" t="s">
        <v>38</v>
      </c>
      <c r="S51" t="str">
        <f t="shared" si="0"/>
        <v>45-54</v>
      </c>
    </row>
    <row r="52" spans="1:19" x14ac:dyDescent="0.3">
      <c r="A52">
        <v>51</v>
      </c>
      <c r="B52" t="s">
        <v>229</v>
      </c>
      <c r="C52" t="s">
        <v>138</v>
      </c>
      <c r="D52" t="s">
        <v>41</v>
      </c>
      <c r="E52" t="s">
        <v>51</v>
      </c>
      <c r="F52">
        <v>62</v>
      </c>
      <c r="G52" t="s">
        <v>64</v>
      </c>
      <c r="H52">
        <v>10</v>
      </c>
      <c r="I52" t="s">
        <v>65</v>
      </c>
      <c r="J52" t="s">
        <v>31</v>
      </c>
      <c r="K52" t="s">
        <v>205</v>
      </c>
      <c r="L52" t="s">
        <v>55</v>
      </c>
      <c r="M52">
        <v>234066</v>
      </c>
      <c r="N52" t="s">
        <v>96</v>
      </c>
      <c r="O52" t="s">
        <v>75</v>
      </c>
      <c r="P52" t="s">
        <v>68</v>
      </c>
      <c r="Q52" t="s">
        <v>147</v>
      </c>
      <c r="R52" t="s">
        <v>126</v>
      </c>
      <c r="S52" t="str">
        <f t="shared" si="0"/>
        <v>55-65</v>
      </c>
    </row>
    <row r="53" spans="1:19" x14ac:dyDescent="0.3">
      <c r="A53">
        <v>52</v>
      </c>
      <c r="B53" t="s">
        <v>135</v>
      </c>
      <c r="C53" t="s">
        <v>26</v>
      </c>
      <c r="D53" t="s">
        <v>167</v>
      </c>
      <c r="E53" t="s">
        <v>51</v>
      </c>
      <c r="F53">
        <v>35</v>
      </c>
      <c r="G53" t="s">
        <v>87</v>
      </c>
      <c r="H53">
        <v>12</v>
      </c>
      <c r="I53" t="s">
        <v>80</v>
      </c>
      <c r="J53" t="s">
        <v>44</v>
      </c>
      <c r="K53" t="s">
        <v>88</v>
      </c>
      <c r="L53" t="s">
        <v>67</v>
      </c>
      <c r="M53">
        <v>84536</v>
      </c>
      <c r="N53" t="s">
        <v>47</v>
      </c>
      <c r="O53" t="s">
        <v>35</v>
      </c>
      <c r="P53" t="s">
        <v>230</v>
      </c>
      <c r="Q53" t="s">
        <v>231</v>
      </c>
      <c r="R53" t="s">
        <v>126</v>
      </c>
      <c r="S53" t="str">
        <f t="shared" si="0"/>
        <v>35-44</v>
      </c>
    </row>
    <row r="54" spans="1:19" x14ac:dyDescent="0.3">
      <c r="A54">
        <v>53</v>
      </c>
      <c r="B54" t="s">
        <v>177</v>
      </c>
      <c r="C54" t="s">
        <v>157</v>
      </c>
      <c r="D54" t="s">
        <v>26</v>
      </c>
      <c r="E54" t="s">
        <v>28</v>
      </c>
      <c r="F54">
        <v>51</v>
      </c>
      <c r="G54" t="s">
        <v>198</v>
      </c>
      <c r="H54">
        <v>9</v>
      </c>
      <c r="I54" t="s">
        <v>199</v>
      </c>
      <c r="J54" t="s">
        <v>44</v>
      </c>
      <c r="K54" t="s">
        <v>232</v>
      </c>
      <c r="L54" t="s">
        <v>67</v>
      </c>
      <c r="M54">
        <v>343276</v>
      </c>
      <c r="N54" t="s">
        <v>47</v>
      </c>
      <c r="O54" t="s">
        <v>35</v>
      </c>
      <c r="P54" t="s">
        <v>217</v>
      </c>
      <c r="Q54" t="s">
        <v>233</v>
      </c>
      <c r="R54" t="s">
        <v>83</v>
      </c>
      <c r="S54" t="str">
        <f t="shared" si="0"/>
        <v>45-54</v>
      </c>
    </row>
    <row r="55" spans="1:19" x14ac:dyDescent="0.3">
      <c r="A55">
        <v>54</v>
      </c>
      <c r="B55" t="s">
        <v>120</v>
      </c>
      <c r="C55" t="s">
        <v>105</v>
      </c>
      <c r="D55" t="s">
        <v>86</v>
      </c>
      <c r="E55" t="s">
        <v>28</v>
      </c>
      <c r="F55">
        <v>21</v>
      </c>
      <c r="G55" t="s">
        <v>42</v>
      </c>
      <c r="H55">
        <v>5</v>
      </c>
      <c r="I55" t="s">
        <v>43</v>
      </c>
      <c r="J55" t="s">
        <v>53</v>
      </c>
      <c r="K55" t="s">
        <v>53</v>
      </c>
      <c r="L55" t="s">
        <v>67</v>
      </c>
      <c r="M55">
        <v>245609</v>
      </c>
      <c r="N55" t="s">
        <v>96</v>
      </c>
      <c r="O55" t="s">
        <v>35</v>
      </c>
      <c r="P55" t="s">
        <v>36</v>
      </c>
      <c r="Q55" t="s">
        <v>234</v>
      </c>
      <c r="R55" t="s">
        <v>60</v>
      </c>
      <c r="S55" t="str">
        <f t="shared" si="0"/>
        <v>18-24</v>
      </c>
    </row>
    <row r="56" spans="1:19" x14ac:dyDescent="0.3">
      <c r="A56">
        <v>55</v>
      </c>
      <c r="B56" t="s">
        <v>235</v>
      </c>
      <c r="C56" t="s">
        <v>236</v>
      </c>
      <c r="D56" t="s">
        <v>138</v>
      </c>
      <c r="E56" t="s">
        <v>51</v>
      </c>
      <c r="F56">
        <v>48</v>
      </c>
      <c r="G56" t="s">
        <v>87</v>
      </c>
      <c r="H56">
        <v>6</v>
      </c>
      <c r="I56" t="s">
        <v>80</v>
      </c>
      <c r="J56" t="s">
        <v>113</v>
      </c>
      <c r="K56" t="s">
        <v>237</v>
      </c>
      <c r="L56" t="s">
        <v>33</v>
      </c>
      <c r="M56">
        <v>143244</v>
      </c>
      <c r="N56" t="s">
        <v>56</v>
      </c>
      <c r="O56" t="s">
        <v>75</v>
      </c>
      <c r="P56" t="s">
        <v>101</v>
      </c>
      <c r="Q56" t="s">
        <v>129</v>
      </c>
      <c r="R56" t="s">
        <v>60</v>
      </c>
      <c r="S56" t="str">
        <f t="shared" si="0"/>
        <v>45-54</v>
      </c>
    </row>
    <row r="57" spans="1:19" x14ac:dyDescent="0.3">
      <c r="A57">
        <v>56</v>
      </c>
      <c r="B57" t="s">
        <v>238</v>
      </c>
      <c r="C57" t="s">
        <v>85</v>
      </c>
      <c r="D57" t="s">
        <v>160</v>
      </c>
      <c r="E57" t="s">
        <v>28</v>
      </c>
      <c r="F57">
        <v>56</v>
      </c>
      <c r="G57" t="s">
        <v>64</v>
      </c>
      <c r="H57">
        <v>8</v>
      </c>
      <c r="I57" t="s">
        <v>65</v>
      </c>
      <c r="J57" t="s">
        <v>113</v>
      </c>
      <c r="K57" t="s">
        <v>239</v>
      </c>
      <c r="L57" t="s">
        <v>46</v>
      </c>
      <c r="M57">
        <v>82862</v>
      </c>
      <c r="N57" t="s">
        <v>96</v>
      </c>
      <c r="O57" t="s">
        <v>57</v>
      </c>
      <c r="P57" t="s">
        <v>217</v>
      </c>
      <c r="Q57" t="s">
        <v>218</v>
      </c>
      <c r="R57" t="s">
        <v>103</v>
      </c>
      <c r="S57" t="str">
        <f t="shared" si="0"/>
        <v>55-65</v>
      </c>
    </row>
    <row r="58" spans="1:19" x14ac:dyDescent="0.3">
      <c r="A58">
        <v>57</v>
      </c>
      <c r="B58" t="s">
        <v>91</v>
      </c>
      <c r="C58" t="s">
        <v>221</v>
      </c>
      <c r="D58" t="s">
        <v>160</v>
      </c>
      <c r="E58" t="s">
        <v>51</v>
      </c>
      <c r="F58">
        <v>31</v>
      </c>
      <c r="G58" t="s">
        <v>150</v>
      </c>
      <c r="H58">
        <v>20</v>
      </c>
      <c r="I58" t="s">
        <v>112</v>
      </c>
      <c r="J58" t="s">
        <v>113</v>
      </c>
      <c r="K58" t="s">
        <v>168</v>
      </c>
      <c r="L58" t="s">
        <v>67</v>
      </c>
      <c r="M58">
        <v>232848</v>
      </c>
      <c r="N58" t="s">
        <v>115</v>
      </c>
      <c r="O58" t="s">
        <v>35</v>
      </c>
      <c r="P58" t="s">
        <v>68</v>
      </c>
      <c r="Q58" t="s">
        <v>147</v>
      </c>
      <c r="R58" t="s">
        <v>126</v>
      </c>
      <c r="S58" t="str">
        <f t="shared" si="0"/>
        <v>25-34</v>
      </c>
    </row>
    <row r="59" spans="1:19" x14ac:dyDescent="0.3">
      <c r="A59">
        <v>58</v>
      </c>
      <c r="B59" t="s">
        <v>78</v>
      </c>
      <c r="C59" t="s">
        <v>105</v>
      </c>
      <c r="D59" t="s">
        <v>136</v>
      </c>
      <c r="E59" t="s">
        <v>28</v>
      </c>
      <c r="F59">
        <v>36</v>
      </c>
      <c r="G59" t="s">
        <v>198</v>
      </c>
      <c r="H59">
        <v>23</v>
      </c>
      <c r="I59" t="s">
        <v>43</v>
      </c>
      <c r="J59" t="s">
        <v>94</v>
      </c>
      <c r="K59" t="s">
        <v>95</v>
      </c>
      <c r="L59" t="s">
        <v>55</v>
      </c>
      <c r="M59">
        <v>104396</v>
      </c>
      <c r="N59" t="s">
        <v>96</v>
      </c>
      <c r="O59" t="s">
        <v>35</v>
      </c>
      <c r="P59" t="s">
        <v>97</v>
      </c>
      <c r="Q59" t="s">
        <v>180</v>
      </c>
      <c r="R59" t="s">
        <v>38</v>
      </c>
      <c r="S59" t="str">
        <f t="shared" si="0"/>
        <v>35-44</v>
      </c>
    </row>
    <row r="60" spans="1:19" x14ac:dyDescent="0.3">
      <c r="A60">
        <v>59</v>
      </c>
      <c r="B60" t="s">
        <v>91</v>
      </c>
      <c r="C60" t="s">
        <v>121</v>
      </c>
      <c r="D60" t="s">
        <v>183</v>
      </c>
      <c r="E60" t="s">
        <v>51</v>
      </c>
      <c r="F60">
        <v>59</v>
      </c>
      <c r="G60" t="s">
        <v>139</v>
      </c>
      <c r="H60">
        <v>4</v>
      </c>
      <c r="I60" t="s">
        <v>140</v>
      </c>
      <c r="J60" t="s">
        <v>94</v>
      </c>
      <c r="K60" t="s">
        <v>210</v>
      </c>
      <c r="L60" t="s">
        <v>33</v>
      </c>
      <c r="M60">
        <v>290188</v>
      </c>
      <c r="N60" t="s">
        <v>34</v>
      </c>
      <c r="O60" t="s">
        <v>35</v>
      </c>
      <c r="P60" t="s">
        <v>169</v>
      </c>
      <c r="Q60" t="s">
        <v>240</v>
      </c>
      <c r="R60" t="s">
        <v>83</v>
      </c>
      <c r="S60" t="str">
        <f t="shared" si="0"/>
        <v>55-65</v>
      </c>
    </row>
    <row r="61" spans="1:19" x14ac:dyDescent="0.3">
      <c r="A61">
        <v>60</v>
      </c>
      <c r="B61" t="s">
        <v>241</v>
      </c>
      <c r="C61" t="s">
        <v>62</v>
      </c>
      <c r="D61" t="s">
        <v>71</v>
      </c>
      <c r="E61" t="s">
        <v>51</v>
      </c>
      <c r="F61">
        <v>35</v>
      </c>
      <c r="G61" t="s">
        <v>107</v>
      </c>
      <c r="H61">
        <v>10</v>
      </c>
      <c r="I61" t="s">
        <v>73</v>
      </c>
      <c r="J61" t="s">
        <v>44</v>
      </c>
      <c r="K61" t="s">
        <v>184</v>
      </c>
      <c r="L61" t="s">
        <v>33</v>
      </c>
      <c r="M61">
        <v>175359</v>
      </c>
      <c r="N61" t="s">
        <v>56</v>
      </c>
      <c r="O61" t="s">
        <v>35</v>
      </c>
      <c r="P61" t="s">
        <v>36</v>
      </c>
      <c r="Q61" t="s">
        <v>185</v>
      </c>
      <c r="R61" t="s">
        <v>103</v>
      </c>
      <c r="S61" t="str">
        <f t="shared" si="0"/>
        <v>35-44</v>
      </c>
    </row>
    <row r="62" spans="1:19" x14ac:dyDescent="0.3">
      <c r="A62">
        <v>61</v>
      </c>
      <c r="B62" t="s">
        <v>242</v>
      </c>
      <c r="C62" t="s">
        <v>154</v>
      </c>
      <c r="D62" t="s">
        <v>41</v>
      </c>
      <c r="E62" t="s">
        <v>51</v>
      </c>
      <c r="F62">
        <v>55</v>
      </c>
      <c r="G62" t="s">
        <v>64</v>
      </c>
      <c r="H62">
        <v>8</v>
      </c>
      <c r="I62" t="s">
        <v>65</v>
      </c>
      <c r="J62" t="s">
        <v>44</v>
      </c>
      <c r="K62" t="s">
        <v>232</v>
      </c>
      <c r="L62" t="s">
        <v>67</v>
      </c>
      <c r="M62">
        <v>203805</v>
      </c>
      <c r="N62" t="s">
        <v>96</v>
      </c>
      <c r="O62" t="s">
        <v>75</v>
      </c>
      <c r="P62" t="s">
        <v>97</v>
      </c>
      <c r="Q62" t="s">
        <v>243</v>
      </c>
      <c r="R62" t="s">
        <v>103</v>
      </c>
      <c r="S62" t="str">
        <f t="shared" si="0"/>
        <v>55-65</v>
      </c>
    </row>
    <row r="63" spans="1:19" x14ac:dyDescent="0.3">
      <c r="A63">
        <v>62</v>
      </c>
      <c r="B63" t="s">
        <v>223</v>
      </c>
      <c r="C63" t="s">
        <v>244</v>
      </c>
      <c r="D63" t="s">
        <v>221</v>
      </c>
      <c r="E63" t="s">
        <v>51</v>
      </c>
      <c r="F63">
        <v>48</v>
      </c>
      <c r="G63" t="s">
        <v>72</v>
      </c>
      <c r="H63">
        <v>27</v>
      </c>
      <c r="I63" t="s">
        <v>73</v>
      </c>
      <c r="J63" t="s">
        <v>123</v>
      </c>
      <c r="K63" t="s">
        <v>245</v>
      </c>
      <c r="L63" t="s">
        <v>33</v>
      </c>
      <c r="M63">
        <v>119991</v>
      </c>
      <c r="N63" t="s">
        <v>115</v>
      </c>
      <c r="O63" t="s">
        <v>57</v>
      </c>
      <c r="P63" t="s">
        <v>76</v>
      </c>
      <c r="Q63" t="s">
        <v>200</v>
      </c>
      <c r="R63" t="s">
        <v>103</v>
      </c>
      <c r="S63" t="str">
        <f t="shared" si="0"/>
        <v>45-54</v>
      </c>
    </row>
    <row r="64" spans="1:19" x14ac:dyDescent="0.3">
      <c r="A64">
        <v>63</v>
      </c>
      <c r="B64" t="s">
        <v>246</v>
      </c>
      <c r="C64" t="s">
        <v>121</v>
      </c>
      <c r="D64" t="s">
        <v>92</v>
      </c>
      <c r="E64" t="s">
        <v>51</v>
      </c>
      <c r="F64">
        <v>38</v>
      </c>
      <c r="G64" t="s">
        <v>42</v>
      </c>
      <c r="H64">
        <v>2</v>
      </c>
      <c r="I64" t="s">
        <v>43</v>
      </c>
      <c r="J64" t="s">
        <v>123</v>
      </c>
      <c r="K64" t="s">
        <v>245</v>
      </c>
      <c r="L64" t="s">
        <v>206</v>
      </c>
      <c r="M64">
        <v>44993</v>
      </c>
      <c r="N64" t="s">
        <v>56</v>
      </c>
      <c r="O64" t="s">
        <v>35</v>
      </c>
      <c r="P64" t="s">
        <v>230</v>
      </c>
      <c r="Q64" t="s">
        <v>231</v>
      </c>
      <c r="R64" t="s">
        <v>126</v>
      </c>
      <c r="S64" t="str">
        <f t="shared" si="0"/>
        <v>35-44</v>
      </c>
    </row>
    <row r="65" spans="1:19" x14ac:dyDescent="0.3">
      <c r="A65">
        <v>64</v>
      </c>
      <c r="B65" t="s">
        <v>247</v>
      </c>
      <c r="C65" t="s">
        <v>149</v>
      </c>
      <c r="D65" t="s">
        <v>183</v>
      </c>
      <c r="E65" t="s">
        <v>51</v>
      </c>
      <c r="F65">
        <v>58</v>
      </c>
      <c r="G65" t="s">
        <v>42</v>
      </c>
      <c r="H65">
        <v>12</v>
      </c>
      <c r="I65" t="s">
        <v>43</v>
      </c>
      <c r="J65" t="s">
        <v>94</v>
      </c>
      <c r="K65" t="s">
        <v>95</v>
      </c>
      <c r="L65" t="s">
        <v>46</v>
      </c>
      <c r="M65">
        <v>75228</v>
      </c>
      <c r="N65" t="s">
        <v>115</v>
      </c>
      <c r="O65" t="s">
        <v>57</v>
      </c>
      <c r="P65" t="s">
        <v>89</v>
      </c>
      <c r="Q65" t="s">
        <v>248</v>
      </c>
      <c r="R65" t="s">
        <v>103</v>
      </c>
      <c r="S65" t="str">
        <f t="shared" si="0"/>
        <v>55-65</v>
      </c>
    </row>
    <row r="66" spans="1:19" x14ac:dyDescent="0.3">
      <c r="A66">
        <v>65</v>
      </c>
      <c r="B66" t="s">
        <v>216</v>
      </c>
      <c r="C66" t="s">
        <v>41</v>
      </c>
      <c r="D66" t="s">
        <v>249</v>
      </c>
      <c r="E66" t="s">
        <v>51</v>
      </c>
      <c r="F66">
        <v>28</v>
      </c>
      <c r="G66" t="s">
        <v>150</v>
      </c>
      <c r="H66">
        <v>26</v>
      </c>
      <c r="I66" t="s">
        <v>122</v>
      </c>
      <c r="J66" t="s">
        <v>31</v>
      </c>
      <c r="K66" t="s">
        <v>32</v>
      </c>
      <c r="L66" t="s">
        <v>206</v>
      </c>
      <c r="M66">
        <v>9718</v>
      </c>
      <c r="N66" t="s">
        <v>34</v>
      </c>
      <c r="O66" t="s">
        <v>35</v>
      </c>
      <c r="P66" t="s">
        <v>230</v>
      </c>
      <c r="Q66" t="s">
        <v>250</v>
      </c>
      <c r="R66" t="s">
        <v>60</v>
      </c>
      <c r="S66" t="str">
        <f t="shared" ref="S66:S129" si="1">IF(F66&lt;25,"18-24",IF(F66&lt;35,"25-34",IF(F66&lt;45,"35-44",IF(F66&lt;55,"45-54","55-65"))))</f>
        <v>25-34</v>
      </c>
    </row>
    <row r="67" spans="1:19" x14ac:dyDescent="0.3">
      <c r="A67">
        <v>66</v>
      </c>
      <c r="B67" t="s">
        <v>216</v>
      </c>
      <c r="C67" t="s">
        <v>215</v>
      </c>
      <c r="D67" t="s">
        <v>50</v>
      </c>
      <c r="E67" t="s">
        <v>51</v>
      </c>
      <c r="F67">
        <v>50</v>
      </c>
      <c r="G67" t="s">
        <v>198</v>
      </c>
      <c r="H67">
        <v>30</v>
      </c>
      <c r="I67" t="s">
        <v>43</v>
      </c>
      <c r="J67" t="s">
        <v>44</v>
      </c>
      <c r="K67" t="s">
        <v>202</v>
      </c>
      <c r="L67" t="s">
        <v>206</v>
      </c>
      <c r="M67">
        <v>292980</v>
      </c>
      <c r="N67" t="s">
        <v>115</v>
      </c>
      <c r="O67" t="s">
        <v>57</v>
      </c>
      <c r="P67" t="s">
        <v>230</v>
      </c>
      <c r="Q67" t="s">
        <v>251</v>
      </c>
      <c r="R67" t="s">
        <v>126</v>
      </c>
      <c r="S67" t="str">
        <f t="shared" si="1"/>
        <v>45-54</v>
      </c>
    </row>
    <row r="68" spans="1:19" x14ac:dyDescent="0.3">
      <c r="A68">
        <v>67</v>
      </c>
      <c r="B68" t="s">
        <v>70</v>
      </c>
      <c r="C68" t="s">
        <v>183</v>
      </c>
      <c r="D68" t="s">
        <v>40</v>
      </c>
      <c r="E68" t="s">
        <v>28</v>
      </c>
      <c r="F68">
        <v>22</v>
      </c>
      <c r="G68" t="s">
        <v>42</v>
      </c>
      <c r="H68">
        <v>24</v>
      </c>
      <c r="I68" t="s">
        <v>112</v>
      </c>
      <c r="J68" t="s">
        <v>31</v>
      </c>
      <c r="K68" t="s">
        <v>252</v>
      </c>
      <c r="L68" t="s">
        <v>46</v>
      </c>
      <c r="M68">
        <v>122257</v>
      </c>
      <c r="N68" t="s">
        <v>47</v>
      </c>
      <c r="O68" t="s">
        <v>35</v>
      </c>
      <c r="P68" t="s">
        <v>230</v>
      </c>
      <c r="Q68" t="s">
        <v>251</v>
      </c>
      <c r="R68" t="s">
        <v>83</v>
      </c>
      <c r="S68" t="str">
        <f t="shared" si="1"/>
        <v>18-24</v>
      </c>
    </row>
    <row r="69" spans="1:19" x14ac:dyDescent="0.3">
      <c r="A69">
        <v>68</v>
      </c>
      <c r="B69" t="s">
        <v>91</v>
      </c>
      <c r="C69" t="s">
        <v>244</v>
      </c>
      <c r="D69" t="s">
        <v>121</v>
      </c>
      <c r="E69" t="s">
        <v>51</v>
      </c>
      <c r="F69">
        <v>52</v>
      </c>
      <c r="G69" t="s">
        <v>198</v>
      </c>
      <c r="H69">
        <v>28</v>
      </c>
      <c r="I69" t="s">
        <v>43</v>
      </c>
      <c r="J69" t="s">
        <v>31</v>
      </c>
      <c r="K69" t="s">
        <v>195</v>
      </c>
      <c r="L69" t="s">
        <v>46</v>
      </c>
      <c r="M69">
        <v>119692</v>
      </c>
      <c r="N69" t="s">
        <v>96</v>
      </c>
      <c r="O69" t="s">
        <v>57</v>
      </c>
      <c r="P69" t="s">
        <v>89</v>
      </c>
      <c r="Q69" t="s">
        <v>155</v>
      </c>
      <c r="R69" t="s">
        <v>83</v>
      </c>
      <c r="S69" t="str">
        <f t="shared" si="1"/>
        <v>45-54</v>
      </c>
    </row>
    <row r="70" spans="1:19" x14ac:dyDescent="0.3">
      <c r="A70">
        <v>69</v>
      </c>
      <c r="B70" t="s">
        <v>174</v>
      </c>
      <c r="C70" t="s">
        <v>85</v>
      </c>
      <c r="D70" t="s">
        <v>63</v>
      </c>
      <c r="E70" t="s">
        <v>28</v>
      </c>
      <c r="F70">
        <v>20</v>
      </c>
      <c r="G70" t="s">
        <v>29</v>
      </c>
      <c r="H70">
        <v>28</v>
      </c>
      <c r="I70" t="s">
        <v>52</v>
      </c>
      <c r="J70" t="s">
        <v>164</v>
      </c>
      <c r="K70" t="s">
        <v>253</v>
      </c>
      <c r="L70" t="s">
        <v>206</v>
      </c>
      <c r="M70">
        <v>248304</v>
      </c>
      <c r="N70" t="s">
        <v>96</v>
      </c>
      <c r="O70" t="s">
        <v>75</v>
      </c>
      <c r="P70" t="s">
        <v>76</v>
      </c>
      <c r="Q70" t="s">
        <v>200</v>
      </c>
      <c r="R70" t="s">
        <v>38</v>
      </c>
      <c r="S70" t="str">
        <f t="shared" si="1"/>
        <v>18-24</v>
      </c>
    </row>
    <row r="71" spans="1:19" x14ac:dyDescent="0.3">
      <c r="A71">
        <v>70</v>
      </c>
      <c r="B71" t="s">
        <v>254</v>
      </c>
      <c r="C71" t="s">
        <v>131</v>
      </c>
      <c r="D71" t="s">
        <v>163</v>
      </c>
      <c r="E71" t="s">
        <v>51</v>
      </c>
      <c r="F71">
        <v>46</v>
      </c>
      <c r="G71" t="s">
        <v>150</v>
      </c>
      <c r="H71">
        <v>11</v>
      </c>
      <c r="I71" t="s">
        <v>112</v>
      </c>
      <c r="J71" t="s">
        <v>164</v>
      </c>
      <c r="K71" t="s">
        <v>164</v>
      </c>
      <c r="L71" t="s">
        <v>33</v>
      </c>
      <c r="M71">
        <v>319102</v>
      </c>
      <c r="N71" t="s">
        <v>115</v>
      </c>
      <c r="O71" t="s">
        <v>57</v>
      </c>
      <c r="P71" t="s">
        <v>101</v>
      </c>
      <c r="Q71" t="s">
        <v>102</v>
      </c>
      <c r="R71" t="s">
        <v>38</v>
      </c>
      <c r="S71" t="str">
        <f t="shared" si="1"/>
        <v>45-54</v>
      </c>
    </row>
    <row r="72" spans="1:19" x14ac:dyDescent="0.3">
      <c r="A72">
        <v>71</v>
      </c>
      <c r="B72" t="s">
        <v>201</v>
      </c>
      <c r="C72" t="s">
        <v>154</v>
      </c>
      <c r="D72" t="s">
        <v>181</v>
      </c>
      <c r="E72" t="s">
        <v>28</v>
      </c>
      <c r="F72">
        <v>39</v>
      </c>
      <c r="G72" t="s">
        <v>150</v>
      </c>
      <c r="H72">
        <v>23</v>
      </c>
      <c r="I72" t="s">
        <v>122</v>
      </c>
      <c r="J72" t="s">
        <v>123</v>
      </c>
      <c r="K72" t="s">
        <v>245</v>
      </c>
      <c r="L72" t="s">
        <v>206</v>
      </c>
      <c r="M72">
        <v>334178</v>
      </c>
      <c r="N72" t="s">
        <v>56</v>
      </c>
      <c r="O72" t="s">
        <v>35</v>
      </c>
      <c r="P72" t="s">
        <v>36</v>
      </c>
      <c r="Q72" t="s">
        <v>48</v>
      </c>
      <c r="R72" t="s">
        <v>126</v>
      </c>
      <c r="S72" t="str">
        <f t="shared" si="1"/>
        <v>35-44</v>
      </c>
    </row>
    <row r="73" spans="1:19" x14ac:dyDescent="0.3">
      <c r="A73">
        <v>72</v>
      </c>
      <c r="B73" t="s">
        <v>174</v>
      </c>
      <c r="C73" t="s">
        <v>249</v>
      </c>
      <c r="D73" t="s">
        <v>189</v>
      </c>
      <c r="E73" t="s">
        <v>28</v>
      </c>
      <c r="F73">
        <v>45</v>
      </c>
      <c r="G73" t="s">
        <v>79</v>
      </c>
      <c r="H73">
        <v>8</v>
      </c>
      <c r="I73" t="s">
        <v>52</v>
      </c>
      <c r="J73" t="s">
        <v>44</v>
      </c>
      <c r="K73" t="s">
        <v>255</v>
      </c>
      <c r="L73" t="s">
        <v>55</v>
      </c>
      <c r="M73">
        <v>158069</v>
      </c>
      <c r="N73" t="s">
        <v>34</v>
      </c>
      <c r="O73" t="s">
        <v>35</v>
      </c>
      <c r="P73" t="s">
        <v>101</v>
      </c>
      <c r="Q73" t="s">
        <v>129</v>
      </c>
      <c r="R73" t="s">
        <v>83</v>
      </c>
      <c r="S73" t="str">
        <f t="shared" si="1"/>
        <v>45-54</v>
      </c>
    </row>
    <row r="74" spans="1:19" x14ac:dyDescent="0.3">
      <c r="A74">
        <v>73</v>
      </c>
      <c r="B74" t="s">
        <v>256</v>
      </c>
      <c r="C74" t="s">
        <v>178</v>
      </c>
      <c r="D74" t="s">
        <v>93</v>
      </c>
      <c r="E74" t="s">
        <v>28</v>
      </c>
      <c r="F74">
        <v>44</v>
      </c>
      <c r="G74" t="s">
        <v>139</v>
      </c>
      <c r="H74">
        <v>5</v>
      </c>
      <c r="I74" t="s">
        <v>140</v>
      </c>
      <c r="J74" t="s">
        <v>31</v>
      </c>
      <c r="K74" t="s">
        <v>257</v>
      </c>
      <c r="L74" t="s">
        <v>33</v>
      </c>
      <c r="M74">
        <v>63644</v>
      </c>
      <c r="N74" t="s">
        <v>56</v>
      </c>
      <c r="O74" t="s">
        <v>57</v>
      </c>
      <c r="P74" t="s">
        <v>217</v>
      </c>
      <c r="Q74" t="s">
        <v>220</v>
      </c>
      <c r="R74" t="s">
        <v>126</v>
      </c>
      <c r="S74" t="str">
        <f t="shared" si="1"/>
        <v>35-44</v>
      </c>
    </row>
    <row r="75" spans="1:19" x14ac:dyDescent="0.3">
      <c r="A75">
        <v>74</v>
      </c>
      <c r="B75" t="s">
        <v>258</v>
      </c>
      <c r="C75" t="s">
        <v>244</v>
      </c>
      <c r="D75" t="s">
        <v>50</v>
      </c>
      <c r="E75" t="s">
        <v>28</v>
      </c>
      <c r="F75">
        <v>47</v>
      </c>
      <c r="G75" t="s">
        <v>29</v>
      </c>
      <c r="H75">
        <v>15</v>
      </c>
      <c r="I75" t="s">
        <v>30</v>
      </c>
      <c r="J75" t="s">
        <v>44</v>
      </c>
      <c r="K75" t="s">
        <v>202</v>
      </c>
      <c r="L75" t="s">
        <v>206</v>
      </c>
      <c r="M75">
        <v>315123</v>
      </c>
      <c r="N75" t="s">
        <v>47</v>
      </c>
      <c r="O75" t="s">
        <v>75</v>
      </c>
      <c r="P75" t="s">
        <v>230</v>
      </c>
      <c r="Q75" t="s">
        <v>259</v>
      </c>
      <c r="R75" t="s">
        <v>126</v>
      </c>
      <c r="S75" t="str">
        <f t="shared" si="1"/>
        <v>45-54</v>
      </c>
    </row>
    <row r="76" spans="1:19" x14ac:dyDescent="0.3">
      <c r="A76">
        <v>75</v>
      </c>
      <c r="B76" t="s">
        <v>156</v>
      </c>
      <c r="C76" t="s">
        <v>138</v>
      </c>
      <c r="D76" t="s">
        <v>178</v>
      </c>
      <c r="E76" t="s">
        <v>28</v>
      </c>
      <c r="F76">
        <v>62</v>
      </c>
      <c r="G76" t="s">
        <v>150</v>
      </c>
      <c r="H76">
        <v>10</v>
      </c>
      <c r="I76" t="s">
        <v>112</v>
      </c>
      <c r="J76" t="s">
        <v>44</v>
      </c>
      <c r="K76" t="s">
        <v>184</v>
      </c>
      <c r="L76" t="s">
        <v>67</v>
      </c>
      <c r="M76">
        <v>296630</v>
      </c>
      <c r="N76" t="s">
        <v>96</v>
      </c>
      <c r="O76" t="s">
        <v>57</v>
      </c>
      <c r="P76" t="s">
        <v>230</v>
      </c>
      <c r="Q76" t="s">
        <v>251</v>
      </c>
      <c r="R76" t="s">
        <v>60</v>
      </c>
      <c r="S76" t="str">
        <f t="shared" si="1"/>
        <v>55-65</v>
      </c>
    </row>
    <row r="77" spans="1:19" x14ac:dyDescent="0.3">
      <c r="A77">
        <v>76</v>
      </c>
      <c r="B77" t="s">
        <v>70</v>
      </c>
      <c r="C77" t="s">
        <v>85</v>
      </c>
      <c r="D77" t="s">
        <v>178</v>
      </c>
      <c r="E77" t="s">
        <v>28</v>
      </c>
      <c r="F77">
        <v>19</v>
      </c>
      <c r="G77" t="s">
        <v>150</v>
      </c>
      <c r="H77">
        <v>10</v>
      </c>
      <c r="I77" t="s">
        <v>112</v>
      </c>
      <c r="J77" t="s">
        <v>44</v>
      </c>
      <c r="K77" t="s">
        <v>202</v>
      </c>
      <c r="L77" t="s">
        <v>33</v>
      </c>
      <c r="M77">
        <v>7794</v>
      </c>
      <c r="N77" t="s">
        <v>56</v>
      </c>
      <c r="O77" t="s">
        <v>75</v>
      </c>
      <c r="P77" t="s">
        <v>58</v>
      </c>
      <c r="Q77" t="s">
        <v>165</v>
      </c>
      <c r="R77" t="s">
        <v>103</v>
      </c>
      <c r="S77" t="str">
        <f t="shared" si="1"/>
        <v>18-24</v>
      </c>
    </row>
    <row r="78" spans="1:19" x14ac:dyDescent="0.3">
      <c r="A78">
        <v>77</v>
      </c>
      <c r="B78" t="s">
        <v>193</v>
      </c>
      <c r="C78" t="s">
        <v>40</v>
      </c>
      <c r="D78" t="s">
        <v>178</v>
      </c>
      <c r="E78" t="s">
        <v>51</v>
      </c>
      <c r="F78">
        <v>34</v>
      </c>
      <c r="G78" t="s">
        <v>29</v>
      </c>
      <c r="H78">
        <v>21</v>
      </c>
      <c r="I78" t="s">
        <v>52</v>
      </c>
      <c r="J78" t="s">
        <v>31</v>
      </c>
      <c r="K78" t="s">
        <v>182</v>
      </c>
      <c r="L78" t="s">
        <v>33</v>
      </c>
      <c r="M78">
        <v>316674</v>
      </c>
      <c r="N78" t="s">
        <v>47</v>
      </c>
      <c r="O78" t="s">
        <v>57</v>
      </c>
      <c r="P78" t="s">
        <v>169</v>
      </c>
      <c r="Q78" t="s">
        <v>192</v>
      </c>
      <c r="R78" t="s">
        <v>60</v>
      </c>
      <c r="S78" t="str">
        <f t="shared" si="1"/>
        <v>25-34</v>
      </c>
    </row>
    <row r="79" spans="1:19" x14ac:dyDescent="0.3">
      <c r="A79">
        <v>78</v>
      </c>
      <c r="B79" t="s">
        <v>171</v>
      </c>
      <c r="C79" t="s">
        <v>204</v>
      </c>
      <c r="D79" t="s">
        <v>260</v>
      </c>
      <c r="E79" t="s">
        <v>51</v>
      </c>
      <c r="F79">
        <v>30</v>
      </c>
      <c r="G79" t="s">
        <v>87</v>
      </c>
      <c r="H79">
        <v>24</v>
      </c>
      <c r="I79" t="s">
        <v>140</v>
      </c>
      <c r="J79" t="s">
        <v>123</v>
      </c>
      <c r="K79" t="s">
        <v>261</v>
      </c>
      <c r="L79" t="s">
        <v>55</v>
      </c>
      <c r="M79">
        <v>307379</v>
      </c>
      <c r="N79" t="s">
        <v>56</v>
      </c>
      <c r="O79" t="s">
        <v>75</v>
      </c>
      <c r="P79" t="s">
        <v>169</v>
      </c>
      <c r="Q79" t="s">
        <v>170</v>
      </c>
      <c r="R79" t="s">
        <v>83</v>
      </c>
      <c r="S79" t="str">
        <f t="shared" si="1"/>
        <v>25-34</v>
      </c>
    </row>
    <row r="80" spans="1:19" x14ac:dyDescent="0.3">
      <c r="A80">
        <v>79</v>
      </c>
      <c r="B80" t="s">
        <v>162</v>
      </c>
      <c r="C80" t="s">
        <v>236</v>
      </c>
      <c r="D80" t="s">
        <v>260</v>
      </c>
      <c r="E80" t="s">
        <v>28</v>
      </c>
      <c r="F80">
        <v>47</v>
      </c>
      <c r="G80" t="s">
        <v>107</v>
      </c>
      <c r="H80">
        <v>28</v>
      </c>
      <c r="I80" t="s">
        <v>132</v>
      </c>
      <c r="J80" t="s">
        <v>53</v>
      </c>
      <c r="K80" t="s">
        <v>54</v>
      </c>
      <c r="L80" t="s">
        <v>67</v>
      </c>
      <c r="M80">
        <v>265182</v>
      </c>
      <c r="N80" t="s">
        <v>96</v>
      </c>
      <c r="O80" t="s">
        <v>75</v>
      </c>
      <c r="P80" t="s">
        <v>101</v>
      </c>
      <c r="Q80" t="s">
        <v>125</v>
      </c>
      <c r="R80" t="s">
        <v>83</v>
      </c>
      <c r="S80" t="str">
        <f t="shared" si="1"/>
        <v>45-54</v>
      </c>
    </row>
    <row r="81" spans="1:19" x14ac:dyDescent="0.3">
      <c r="A81">
        <v>80</v>
      </c>
      <c r="B81" t="s">
        <v>153</v>
      </c>
      <c r="C81" t="s">
        <v>105</v>
      </c>
      <c r="D81" t="s">
        <v>154</v>
      </c>
      <c r="E81" t="s">
        <v>28</v>
      </c>
      <c r="F81">
        <v>61</v>
      </c>
      <c r="G81" t="s">
        <v>42</v>
      </c>
      <c r="H81">
        <v>4</v>
      </c>
      <c r="I81" t="s">
        <v>43</v>
      </c>
      <c r="J81" t="s">
        <v>123</v>
      </c>
      <c r="K81" t="s">
        <v>262</v>
      </c>
      <c r="L81" t="s">
        <v>55</v>
      </c>
      <c r="M81">
        <v>136454</v>
      </c>
      <c r="N81" t="s">
        <v>34</v>
      </c>
      <c r="O81" t="s">
        <v>75</v>
      </c>
      <c r="P81" t="s">
        <v>230</v>
      </c>
      <c r="Q81" t="s">
        <v>250</v>
      </c>
      <c r="R81" t="s">
        <v>38</v>
      </c>
      <c r="S81" t="str">
        <f t="shared" si="1"/>
        <v>55-65</v>
      </c>
    </row>
    <row r="82" spans="1:19" x14ac:dyDescent="0.3">
      <c r="A82">
        <v>81</v>
      </c>
      <c r="B82" t="s">
        <v>263</v>
      </c>
      <c r="C82" t="s">
        <v>211</v>
      </c>
      <c r="D82" t="s">
        <v>167</v>
      </c>
      <c r="E82" t="s">
        <v>51</v>
      </c>
      <c r="F82">
        <v>59</v>
      </c>
      <c r="G82" t="s">
        <v>87</v>
      </c>
      <c r="H82">
        <v>30</v>
      </c>
      <c r="I82" t="s">
        <v>140</v>
      </c>
      <c r="J82" t="s">
        <v>94</v>
      </c>
      <c r="K82" t="s">
        <v>210</v>
      </c>
      <c r="L82" t="s">
        <v>55</v>
      </c>
      <c r="M82">
        <v>318739</v>
      </c>
      <c r="N82" t="s">
        <v>96</v>
      </c>
      <c r="O82" t="s">
        <v>35</v>
      </c>
      <c r="P82" t="s">
        <v>101</v>
      </c>
      <c r="Q82" t="s">
        <v>82</v>
      </c>
      <c r="R82" t="s">
        <v>38</v>
      </c>
      <c r="S82" t="str">
        <f t="shared" si="1"/>
        <v>55-65</v>
      </c>
    </row>
    <row r="83" spans="1:19" x14ac:dyDescent="0.3">
      <c r="A83">
        <v>82</v>
      </c>
      <c r="B83" t="s">
        <v>264</v>
      </c>
      <c r="C83" t="s">
        <v>160</v>
      </c>
      <c r="D83" t="s">
        <v>117</v>
      </c>
      <c r="E83" t="s">
        <v>28</v>
      </c>
      <c r="F83">
        <v>52</v>
      </c>
      <c r="G83" t="s">
        <v>64</v>
      </c>
      <c r="H83">
        <v>4</v>
      </c>
      <c r="I83" t="s">
        <v>65</v>
      </c>
      <c r="J83" t="s">
        <v>31</v>
      </c>
      <c r="K83" t="s">
        <v>158</v>
      </c>
      <c r="L83" t="s">
        <v>46</v>
      </c>
      <c r="M83">
        <v>161507</v>
      </c>
      <c r="N83" t="s">
        <v>96</v>
      </c>
      <c r="O83" t="s">
        <v>75</v>
      </c>
      <c r="P83" t="s">
        <v>169</v>
      </c>
      <c r="Q83" t="s">
        <v>265</v>
      </c>
      <c r="R83" t="s">
        <v>38</v>
      </c>
      <c r="S83" t="str">
        <f t="shared" si="1"/>
        <v>45-54</v>
      </c>
    </row>
    <row r="84" spans="1:19" x14ac:dyDescent="0.3">
      <c r="A84">
        <v>83</v>
      </c>
      <c r="B84" t="s">
        <v>266</v>
      </c>
      <c r="C84" t="s">
        <v>117</v>
      </c>
      <c r="D84" t="s">
        <v>211</v>
      </c>
      <c r="E84" t="s">
        <v>51</v>
      </c>
      <c r="F84">
        <v>62</v>
      </c>
      <c r="G84" t="s">
        <v>139</v>
      </c>
      <c r="H84">
        <v>31</v>
      </c>
      <c r="I84" t="s">
        <v>199</v>
      </c>
      <c r="J84" t="s">
        <v>53</v>
      </c>
      <c r="K84" t="s">
        <v>53</v>
      </c>
      <c r="L84" t="s">
        <v>67</v>
      </c>
      <c r="M84">
        <v>157967</v>
      </c>
      <c r="N84" t="s">
        <v>47</v>
      </c>
      <c r="O84" t="s">
        <v>35</v>
      </c>
      <c r="P84" t="s">
        <v>76</v>
      </c>
      <c r="Q84" t="s">
        <v>77</v>
      </c>
      <c r="R84" t="s">
        <v>83</v>
      </c>
      <c r="S84" t="str">
        <f t="shared" si="1"/>
        <v>55-65</v>
      </c>
    </row>
    <row r="85" spans="1:19" x14ac:dyDescent="0.3">
      <c r="A85">
        <v>84</v>
      </c>
      <c r="B85" t="s">
        <v>208</v>
      </c>
      <c r="C85" t="s">
        <v>92</v>
      </c>
      <c r="D85" t="s">
        <v>27</v>
      </c>
      <c r="E85" t="s">
        <v>51</v>
      </c>
      <c r="F85">
        <v>23</v>
      </c>
      <c r="G85" t="s">
        <v>29</v>
      </c>
      <c r="H85">
        <v>4</v>
      </c>
      <c r="I85" t="s">
        <v>30</v>
      </c>
      <c r="J85" t="s">
        <v>164</v>
      </c>
      <c r="K85" t="s">
        <v>253</v>
      </c>
      <c r="L85" t="s">
        <v>33</v>
      </c>
      <c r="M85">
        <v>340027</v>
      </c>
      <c r="N85" t="s">
        <v>47</v>
      </c>
      <c r="O85" t="s">
        <v>35</v>
      </c>
      <c r="P85" t="s">
        <v>68</v>
      </c>
      <c r="Q85" t="s">
        <v>267</v>
      </c>
      <c r="R85" t="s">
        <v>38</v>
      </c>
      <c r="S85" t="str">
        <f t="shared" si="1"/>
        <v>18-24</v>
      </c>
    </row>
    <row r="86" spans="1:19" x14ac:dyDescent="0.3">
      <c r="A86">
        <v>85</v>
      </c>
      <c r="B86" t="s">
        <v>156</v>
      </c>
      <c r="C86" t="s">
        <v>142</v>
      </c>
      <c r="D86" t="s">
        <v>167</v>
      </c>
      <c r="E86" t="s">
        <v>28</v>
      </c>
      <c r="F86">
        <v>32</v>
      </c>
      <c r="G86" t="s">
        <v>29</v>
      </c>
      <c r="H86">
        <v>19</v>
      </c>
      <c r="I86" t="s">
        <v>30</v>
      </c>
      <c r="J86" t="s">
        <v>31</v>
      </c>
      <c r="K86" t="s">
        <v>252</v>
      </c>
      <c r="L86" t="s">
        <v>46</v>
      </c>
      <c r="M86">
        <v>277082</v>
      </c>
      <c r="N86" t="s">
        <v>34</v>
      </c>
      <c r="O86" t="s">
        <v>57</v>
      </c>
      <c r="P86" t="s">
        <v>76</v>
      </c>
      <c r="Q86" t="s">
        <v>77</v>
      </c>
      <c r="R86" t="s">
        <v>38</v>
      </c>
      <c r="S86" t="str">
        <f t="shared" si="1"/>
        <v>25-34</v>
      </c>
    </row>
    <row r="87" spans="1:19" x14ac:dyDescent="0.3">
      <c r="A87">
        <v>86</v>
      </c>
      <c r="B87" t="s">
        <v>137</v>
      </c>
      <c r="C87" t="s">
        <v>154</v>
      </c>
      <c r="D87" t="s">
        <v>175</v>
      </c>
      <c r="E87" t="s">
        <v>28</v>
      </c>
      <c r="F87">
        <v>26</v>
      </c>
      <c r="G87" t="s">
        <v>64</v>
      </c>
      <c r="H87">
        <v>22</v>
      </c>
      <c r="I87" t="s">
        <v>118</v>
      </c>
      <c r="J87" t="s">
        <v>164</v>
      </c>
      <c r="K87" t="s">
        <v>164</v>
      </c>
      <c r="L87" t="s">
        <v>67</v>
      </c>
      <c r="M87">
        <v>277545</v>
      </c>
      <c r="N87" t="s">
        <v>56</v>
      </c>
      <c r="O87" t="s">
        <v>57</v>
      </c>
      <c r="P87" t="s">
        <v>97</v>
      </c>
      <c r="Q87" t="s">
        <v>243</v>
      </c>
      <c r="R87" t="s">
        <v>60</v>
      </c>
      <c r="S87" t="str">
        <f t="shared" si="1"/>
        <v>25-34</v>
      </c>
    </row>
    <row r="88" spans="1:19" x14ac:dyDescent="0.3">
      <c r="A88">
        <v>87</v>
      </c>
      <c r="B88" t="s">
        <v>162</v>
      </c>
      <c r="C88" t="s">
        <v>149</v>
      </c>
      <c r="D88" t="s">
        <v>131</v>
      </c>
      <c r="E88" t="s">
        <v>28</v>
      </c>
      <c r="F88">
        <v>65</v>
      </c>
      <c r="G88" t="s">
        <v>107</v>
      </c>
      <c r="H88">
        <v>14</v>
      </c>
      <c r="I88" t="s">
        <v>73</v>
      </c>
      <c r="J88" t="s">
        <v>94</v>
      </c>
      <c r="K88" t="s">
        <v>268</v>
      </c>
      <c r="L88" t="s">
        <v>55</v>
      </c>
      <c r="M88">
        <v>159655</v>
      </c>
      <c r="N88" t="s">
        <v>56</v>
      </c>
      <c r="O88" t="s">
        <v>75</v>
      </c>
      <c r="P88" t="s">
        <v>101</v>
      </c>
      <c r="Q88" t="s">
        <v>82</v>
      </c>
      <c r="R88" t="s">
        <v>60</v>
      </c>
      <c r="S88" t="str">
        <f t="shared" si="1"/>
        <v>55-65</v>
      </c>
    </row>
    <row r="89" spans="1:19" x14ac:dyDescent="0.3">
      <c r="A89">
        <v>88</v>
      </c>
      <c r="B89" t="s">
        <v>269</v>
      </c>
      <c r="C89" t="s">
        <v>128</v>
      </c>
      <c r="D89" t="s">
        <v>211</v>
      </c>
      <c r="E89" t="s">
        <v>51</v>
      </c>
      <c r="F89">
        <v>51</v>
      </c>
      <c r="G89" t="s">
        <v>194</v>
      </c>
      <c r="H89">
        <v>24</v>
      </c>
      <c r="I89" t="s">
        <v>65</v>
      </c>
      <c r="J89" t="s">
        <v>164</v>
      </c>
      <c r="K89" t="s">
        <v>270</v>
      </c>
      <c r="L89" t="s">
        <v>33</v>
      </c>
      <c r="M89">
        <v>226953</v>
      </c>
      <c r="N89" t="s">
        <v>34</v>
      </c>
      <c r="O89" t="s">
        <v>57</v>
      </c>
      <c r="P89" t="s">
        <v>230</v>
      </c>
      <c r="Q89" t="s">
        <v>251</v>
      </c>
      <c r="R89" t="s">
        <v>103</v>
      </c>
      <c r="S89" t="str">
        <f t="shared" si="1"/>
        <v>45-54</v>
      </c>
    </row>
    <row r="90" spans="1:19" x14ac:dyDescent="0.3">
      <c r="A90">
        <v>89</v>
      </c>
      <c r="B90" t="s">
        <v>266</v>
      </c>
      <c r="C90" t="s">
        <v>117</v>
      </c>
      <c r="D90" t="s">
        <v>86</v>
      </c>
      <c r="E90" t="s">
        <v>51</v>
      </c>
      <c r="F90">
        <v>56</v>
      </c>
      <c r="G90" t="s">
        <v>198</v>
      </c>
      <c r="H90">
        <v>3</v>
      </c>
      <c r="I90" t="s">
        <v>199</v>
      </c>
      <c r="J90" t="s">
        <v>113</v>
      </c>
      <c r="K90" t="s">
        <v>114</v>
      </c>
      <c r="L90" t="s">
        <v>46</v>
      </c>
      <c r="M90">
        <v>48536</v>
      </c>
      <c r="N90" t="s">
        <v>56</v>
      </c>
      <c r="O90" t="s">
        <v>75</v>
      </c>
      <c r="P90" t="s">
        <v>169</v>
      </c>
      <c r="Q90" t="s">
        <v>192</v>
      </c>
      <c r="R90" t="s">
        <v>83</v>
      </c>
      <c r="S90" t="str">
        <f t="shared" si="1"/>
        <v>55-65</v>
      </c>
    </row>
    <row r="91" spans="1:19" x14ac:dyDescent="0.3">
      <c r="A91">
        <v>90</v>
      </c>
      <c r="B91" t="s">
        <v>242</v>
      </c>
      <c r="C91" t="s">
        <v>224</v>
      </c>
      <c r="D91" t="s">
        <v>260</v>
      </c>
      <c r="E91" t="s">
        <v>51</v>
      </c>
      <c r="F91">
        <v>24</v>
      </c>
      <c r="G91" t="s">
        <v>198</v>
      </c>
      <c r="H91">
        <v>17</v>
      </c>
      <c r="I91" t="s">
        <v>199</v>
      </c>
      <c r="J91" t="s">
        <v>94</v>
      </c>
      <c r="K91" t="s">
        <v>271</v>
      </c>
      <c r="L91" t="s">
        <v>67</v>
      </c>
      <c r="M91">
        <v>253690</v>
      </c>
      <c r="N91" t="s">
        <v>96</v>
      </c>
      <c r="O91" t="s">
        <v>57</v>
      </c>
      <c r="P91" t="s">
        <v>101</v>
      </c>
      <c r="Q91" t="s">
        <v>102</v>
      </c>
      <c r="R91" t="s">
        <v>38</v>
      </c>
      <c r="S91" t="str">
        <f t="shared" si="1"/>
        <v>18-24</v>
      </c>
    </row>
    <row r="92" spans="1:19" x14ac:dyDescent="0.3">
      <c r="A92">
        <v>91</v>
      </c>
      <c r="B92" t="s">
        <v>49</v>
      </c>
      <c r="C92" t="s">
        <v>71</v>
      </c>
      <c r="D92" t="s">
        <v>92</v>
      </c>
      <c r="E92" t="s">
        <v>51</v>
      </c>
      <c r="F92">
        <v>45</v>
      </c>
      <c r="G92" t="s">
        <v>139</v>
      </c>
      <c r="H92">
        <v>24</v>
      </c>
      <c r="I92" t="s">
        <v>199</v>
      </c>
      <c r="J92" t="s">
        <v>113</v>
      </c>
      <c r="K92" t="s">
        <v>114</v>
      </c>
      <c r="L92" t="s">
        <v>67</v>
      </c>
      <c r="M92">
        <v>134134</v>
      </c>
      <c r="N92" t="s">
        <v>96</v>
      </c>
      <c r="O92" t="s">
        <v>35</v>
      </c>
      <c r="P92" t="s">
        <v>76</v>
      </c>
      <c r="Q92" t="s">
        <v>272</v>
      </c>
      <c r="R92" t="s">
        <v>60</v>
      </c>
      <c r="S92" t="str">
        <f t="shared" si="1"/>
        <v>45-54</v>
      </c>
    </row>
    <row r="93" spans="1:19" x14ac:dyDescent="0.3">
      <c r="A93">
        <v>92</v>
      </c>
      <c r="B93" t="s">
        <v>116</v>
      </c>
      <c r="C93" t="s">
        <v>221</v>
      </c>
      <c r="D93" t="s">
        <v>273</v>
      </c>
      <c r="E93" t="s">
        <v>28</v>
      </c>
      <c r="F93">
        <v>53</v>
      </c>
      <c r="G93" t="s">
        <v>107</v>
      </c>
      <c r="H93">
        <v>24</v>
      </c>
      <c r="I93" t="s">
        <v>132</v>
      </c>
      <c r="J93" t="s">
        <v>53</v>
      </c>
      <c r="K93" t="s">
        <v>74</v>
      </c>
      <c r="L93" t="s">
        <v>46</v>
      </c>
      <c r="M93">
        <v>335035</v>
      </c>
      <c r="N93" t="s">
        <v>47</v>
      </c>
      <c r="O93" t="s">
        <v>75</v>
      </c>
      <c r="P93" t="s">
        <v>97</v>
      </c>
      <c r="Q93" t="s">
        <v>152</v>
      </c>
      <c r="R93" t="s">
        <v>60</v>
      </c>
      <c r="S93" t="str">
        <f t="shared" si="1"/>
        <v>45-54</v>
      </c>
    </row>
    <row r="94" spans="1:19" x14ac:dyDescent="0.3">
      <c r="A94">
        <v>93</v>
      </c>
      <c r="B94" t="s">
        <v>274</v>
      </c>
      <c r="C94" t="s">
        <v>121</v>
      </c>
      <c r="D94" t="s">
        <v>142</v>
      </c>
      <c r="E94" t="s">
        <v>51</v>
      </c>
      <c r="F94">
        <v>36</v>
      </c>
      <c r="G94" t="s">
        <v>139</v>
      </c>
      <c r="H94">
        <v>28</v>
      </c>
      <c r="I94" t="s">
        <v>199</v>
      </c>
      <c r="J94" t="s">
        <v>44</v>
      </c>
      <c r="K94" t="s">
        <v>44</v>
      </c>
      <c r="L94" t="s">
        <v>46</v>
      </c>
      <c r="M94">
        <v>126318</v>
      </c>
      <c r="N94" t="s">
        <v>56</v>
      </c>
      <c r="O94" t="s">
        <v>35</v>
      </c>
      <c r="P94" t="s">
        <v>217</v>
      </c>
      <c r="Q94" t="s">
        <v>233</v>
      </c>
      <c r="R94" t="s">
        <v>38</v>
      </c>
      <c r="S94" t="str">
        <f t="shared" si="1"/>
        <v>35-44</v>
      </c>
    </row>
    <row r="95" spans="1:19" x14ac:dyDescent="0.3">
      <c r="A95">
        <v>94</v>
      </c>
      <c r="B95" t="s">
        <v>193</v>
      </c>
      <c r="C95" t="s">
        <v>273</v>
      </c>
      <c r="D95" t="s">
        <v>178</v>
      </c>
      <c r="E95" t="s">
        <v>51</v>
      </c>
      <c r="F95">
        <v>54</v>
      </c>
      <c r="G95" t="s">
        <v>42</v>
      </c>
      <c r="H95">
        <v>12</v>
      </c>
      <c r="I95" t="s">
        <v>43</v>
      </c>
      <c r="J95" t="s">
        <v>113</v>
      </c>
      <c r="K95" t="s">
        <v>237</v>
      </c>
      <c r="L95" t="s">
        <v>46</v>
      </c>
      <c r="M95">
        <v>296579</v>
      </c>
      <c r="N95" t="s">
        <v>56</v>
      </c>
      <c r="O95" t="s">
        <v>75</v>
      </c>
      <c r="P95" t="s">
        <v>68</v>
      </c>
      <c r="Q95" t="s">
        <v>134</v>
      </c>
      <c r="R95" t="s">
        <v>126</v>
      </c>
      <c r="S95" t="str">
        <f t="shared" si="1"/>
        <v>45-54</v>
      </c>
    </row>
    <row r="96" spans="1:19" x14ac:dyDescent="0.3">
      <c r="A96">
        <v>95</v>
      </c>
      <c r="B96" t="s">
        <v>275</v>
      </c>
      <c r="C96" t="s">
        <v>121</v>
      </c>
      <c r="D96" t="s">
        <v>146</v>
      </c>
      <c r="E96" t="s">
        <v>28</v>
      </c>
      <c r="F96">
        <v>62</v>
      </c>
      <c r="G96" t="s">
        <v>79</v>
      </c>
      <c r="H96">
        <v>1</v>
      </c>
      <c r="I96" t="s">
        <v>52</v>
      </c>
      <c r="J96" t="s">
        <v>31</v>
      </c>
      <c r="K96" t="s">
        <v>276</v>
      </c>
      <c r="L96" t="s">
        <v>67</v>
      </c>
      <c r="M96">
        <v>126103</v>
      </c>
      <c r="N96" t="s">
        <v>115</v>
      </c>
      <c r="O96" t="s">
        <v>75</v>
      </c>
      <c r="P96" t="s">
        <v>230</v>
      </c>
      <c r="Q96" t="s">
        <v>231</v>
      </c>
      <c r="R96" t="s">
        <v>103</v>
      </c>
      <c r="S96" t="str">
        <f t="shared" si="1"/>
        <v>55-65</v>
      </c>
    </row>
    <row r="97" spans="1:19" x14ac:dyDescent="0.3">
      <c r="A97">
        <v>96</v>
      </c>
      <c r="B97" t="s">
        <v>238</v>
      </c>
      <c r="C97" t="s">
        <v>26</v>
      </c>
      <c r="D97" t="s">
        <v>249</v>
      </c>
      <c r="E97" t="s">
        <v>28</v>
      </c>
      <c r="F97">
        <v>31</v>
      </c>
      <c r="G97" t="s">
        <v>194</v>
      </c>
      <c r="H97">
        <v>3</v>
      </c>
      <c r="I97" t="s">
        <v>132</v>
      </c>
      <c r="J97" t="s">
        <v>44</v>
      </c>
      <c r="K97" t="s">
        <v>81</v>
      </c>
      <c r="L97" t="s">
        <v>67</v>
      </c>
      <c r="M97">
        <v>161508</v>
      </c>
      <c r="N97" t="s">
        <v>47</v>
      </c>
      <c r="O97" t="s">
        <v>57</v>
      </c>
      <c r="P97" t="s">
        <v>58</v>
      </c>
      <c r="Q97" t="s">
        <v>222</v>
      </c>
      <c r="R97" t="s">
        <v>83</v>
      </c>
      <c r="S97" t="str">
        <f t="shared" si="1"/>
        <v>25-34</v>
      </c>
    </row>
    <row r="98" spans="1:19" x14ac:dyDescent="0.3">
      <c r="A98">
        <v>97</v>
      </c>
      <c r="B98" t="s">
        <v>277</v>
      </c>
      <c r="C98" t="s">
        <v>50</v>
      </c>
      <c r="D98" t="s">
        <v>66</v>
      </c>
      <c r="E98" t="s">
        <v>28</v>
      </c>
      <c r="F98">
        <v>35</v>
      </c>
      <c r="G98" t="s">
        <v>150</v>
      </c>
      <c r="H98">
        <v>2</v>
      </c>
      <c r="I98" t="s">
        <v>112</v>
      </c>
      <c r="J98" t="s">
        <v>44</v>
      </c>
      <c r="K98" t="s">
        <v>255</v>
      </c>
      <c r="L98" t="s">
        <v>206</v>
      </c>
      <c r="M98">
        <v>172553</v>
      </c>
      <c r="N98" t="s">
        <v>96</v>
      </c>
      <c r="O98" t="s">
        <v>57</v>
      </c>
      <c r="P98" t="s">
        <v>89</v>
      </c>
      <c r="Q98" t="s">
        <v>225</v>
      </c>
      <c r="R98" t="s">
        <v>38</v>
      </c>
      <c r="S98" t="str">
        <f t="shared" si="1"/>
        <v>35-44</v>
      </c>
    </row>
    <row r="99" spans="1:19" x14ac:dyDescent="0.3">
      <c r="A99">
        <v>98</v>
      </c>
      <c r="B99" t="s">
        <v>214</v>
      </c>
      <c r="C99" t="s">
        <v>221</v>
      </c>
      <c r="D99" t="s">
        <v>62</v>
      </c>
      <c r="E99" t="s">
        <v>28</v>
      </c>
      <c r="F99">
        <v>49</v>
      </c>
      <c r="G99" t="s">
        <v>79</v>
      </c>
      <c r="H99">
        <v>22</v>
      </c>
      <c r="I99" t="s">
        <v>80</v>
      </c>
      <c r="J99" t="s">
        <v>44</v>
      </c>
      <c r="K99" t="s">
        <v>232</v>
      </c>
      <c r="L99" t="s">
        <v>206</v>
      </c>
      <c r="M99">
        <v>20669</v>
      </c>
      <c r="N99" t="s">
        <v>56</v>
      </c>
      <c r="O99" t="s">
        <v>35</v>
      </c>
      <c r="P99" t="s">
        <v>36</v>
      </c>
      <c r="Q99" t="s">
        <v>234</v>
      </c>
      <c r="R99" t="s">
        <v>60</v>
      </c>
      <c r="S99" t="str">
        <f t="shared" si="1"/>
        <v>45-54</v>
      </c>
    </row>
    <row r="100" spans="1:19" x14ac:dyDescent="0.3">
      <c r="A100">
        <v>99</v>
      </c>
      <c r="B100" t="s">
        <v>120</v>
      </c>
      <c r="C100" t="s">
        <v>157</v>
      </c>
      <c r="D100" t="s">
        <v>111</v>
      </c>
      <c r="E100" t="s">
        <v>28</v>
      </c>
      <c r="F100">
        <v>38</v>
      </c>
      <c r="G100" t="s">
        <v>144</v>
      </c>
      <c r="H100">
        <v>25</v>
      </c>
      <c r="I100" t="s">
        <v>30</v>
      </c>
      <c r="J100" t="s">
        <v>53</v>
      </c>
      <c r="K100" t="s">
        <v>188</v>
      </c>
      <c r="L100" t="s">
        <v>206</v>
      </c>
      <c r="M100">
        <v>176598</v>
      </c>
      <c r="N100" t="s">
        <v>115</v>
      </c>
      <c r="O100" t="s">
        <v>35</v>
      </c>
      <c r="P100" t="s">
        <v>101</v>
      </c>
      <c r="Q100" t="s">
        <v>129</v>
      </c>
      <c r="R100" t="s">
        <v>103</v>
      </c>
      <c r="S100" t="str">
        <f t="shared" si="1"/>
        <v>35-44</v>
      </c>
    </row>
    <row r="101" spans="1:19" x14ac:dyDescent="0.3">
      <c r="A101">
        <v>100</v>
      </c>
      <c r="B101" t="s">
        <v>39</v>
      </c>
      <c r="C101" t="s">
        <v>167</v>
      </c>
      <c r="D101" t="s">
        <v>121</v>
      </c>
      <c r="E101" t="s">
        <v>28</v>
      </c>
      <c r="F101">
        <v>45</v>
      </c>
      <c r="G101" t="s">
        <v>87</v>
      </c>
      <c r="H101">
        <v>3</v>
      </c>
      <c r="I101" t="s">
        <v>80</v>
      </c>
      <c r="J101" t="s">
        <v>123</v>
      </c>
      <c r="K101" t="s">
        <v>123</v>
      </c>
      <c r="L101" t="s">
        <v>55</v>
      </c>
      <c r="M101">
        <v>322801</v>
      </c>
      <c r="N101" t="s">
        <v>56</v>
      </c>
      <c r="O101" t="s">
        <v>57</v>
      </c>
      <c r="P101" t="s">
        <v>97</v>
      </c>
      <c r="Q101" t="s">
        <v>278</v>
      </c>
      <c r="R101" t="s">
        <v>126</v>
      </c>
      <c r="S101" t="str">
        <f t="shared" si="1"/>
        <v>45-54</v>
      </c>
    </row>
    <row r="102" spans="1:19" x14ac:dyDescent="0.3">
      <c r="A102">
        <v>101</v>
      </c>
      <c r="B102" t="s">
        <v>247</v>
      </c>
      <c r="C102" t="s">
        <v>260</v>
      </c>
      <c r="D102" t="s">
        <v>62</v>
      </c>
      <c r="E102" t="s">
        <v>51</v>
      </c>
      <c r="F102">
        <v>57</v>
      </c>
      <c r="G102" t="s">
        <v>139</v>
      </c>
      <c r="H102">
        <v>1</v>
      </c>
      <c r="I102" t="s">
        <v>140</v>
      </c>
      <c r="J102" t="s">
        <v>53</v>
      </c>
      <c r="K102" t="s">
        <v>74</v>
      </c>
      <c r="L102" t="s">
        <v>33</v>
      </c>
      <c r="M102">
        <v>35405</v>
      </c>
      <c r="N102" t="s">
        <v>115</v>
      </c>
      <c r="O102" t="s">
        <v>57</v>
      </c>
      <c r="P102" t="s">
        <v>89</v>
      </c>
      <c r="Q102" t="s">
        <v>155</v>
      </c>
      <c r="R102" t="s">
        <v>126</v>
      </c>
      <c r="S102" t="str">
        <f t="shared" si="1"/>
        <v>55-65</v>
      </c>
    </row>
    <row r="103" spans="1:19" x14ac:dyDescent="0.3">
      <c r="A103">
        <v>102</v>
      </c>
      <c r="B103" t="s">
        <v>279</v>
      </c>
      <c r="C103" t="s">
        <v>204</v>
      </c>
      <c r="D103" t="s">
        <v>92</v>
      </c>
      <c r="E103" t="s">
        <v>51</v>
      </c>
      <c r="F103">
        <v>39</v>
      </c>
      <c r="G103" t="s">
        <v>79</v>
      </c>
      <c r="H103">
        <v>24</v>
      </c>
      <c r="I103" t="s">
        <v>80</v>
      </c>
      <c r="J103" t="s">
        <v>53</v>
      </c>
      <c r="K103" t="s">
        <v>280</v>
      </c>
      <c r="L103" t="s">
        <v>33</v>
      </c>
      <c r="M103">
        <v>181117</v>
      </c>
      <c r="N103" t="s">
        <v>56</v>
      </c>
      <c r="O103" t="s">
        <v>75</v>
      </c>
      <c r="P103" t="s">
        <v>169</v>
      </c>
      <c r="Q103" t="s">
        <v>192</v>
      </c>
      <c r="R103" t="s">
        <v>38</v>
      </c>
      <c r="S103" t="str">
        <f t="shared" si="1"/>
        <v>35-44</v>
      </c>
    </row>
    <row r="104" spans="1:19" x14ac:dyDescent="0.3">
      <c r="A104">
        <v>103</v>
      </c>
      <c r="B104" t="s">
        <v>274</v>
      </c>
      <c r="C104" t="s">
        <v>106</v>
      </c>
      <c r="D104" t="s">
        <v>215</v>
      </c>
      <c r="E104" t="s">
        <v>51</v>
      </c>
      <c r="F104">
        <v>34</v>
      </c>
      <c r="G104" t="s">
        <v>144</v>
      </c>
      <c r="H104">
        <v>8</v>
      </c>
      <c r="I104" t="s">
        <v>118</v>
      </c>
      <c r="J104" t="s">
        <v>113</v>
      </c>
      <c r="K104" t="s">
        <v>281</v>
      </c>
      <c r="L104" t="s">
        <v>33</v>
      </c>
      <c r="M104">
        <v>212828</v>
      </c>
      <c r="N104" t="s">
        <v>115</v>
      </c>
      <c r="O104" t="s">
        <v>75</v>
      </c>
      <c r="P104" t="s">
        <v>68</v>
      </c>
      <c r="Q104" t="s">
        <v>173</v>
      </c>
      <c r="R104" t="s">
        <v>103</v>
      </c>
      <c r="S104" t="str">
        <f t="shared" si="1"/>
        <v>25-34</v>
      </c>
    </row>
    <row r="105" spans="1:19" x14ac:dyDescent="0.3">
      <c r="A105">
        <v>104</v>
      </c>
      <c r="B105" t="s">
        <v>282</v>
      </c>
      <c r="C105" t="s">
        <v>142</v>
      </c>
      <c r="D105" t="s">
        <v>244</v>
      </c>
      <c r="E105" t="s">
        <v>51</v>
      </c>
      <c r="F105">
        <v>58</v>
      </c>
      <c r="G105" t="s">
        <v>198</v>
      </c>
      <c r="H105">
        <v>22</v>
      </c>
      <c r="I105" t="s">
        <v>199</v>
      </c>
      <c r="J105" t="s">
        <v>94</v>
      </c>
      <c r="K105" t="s">
        <v>227</v>
      </c>
      <c r="L105" t="s">
        <v>55</v>
      </c>
      <c r="M105">
        <v>303165</v>
      </c>
      <c r="N105" t="s">
        <v>115</v>
      </c>
      <c r="O105" t="s">
        <v>57</v>
      </c>
      <c r="P105" t="s">
        <v>217</v>
      </c>
      <c r="Q105" t="s">
        <v>233</v>
      </c>
      <c r="R105" t="s">
        <v>60</v>
      </c>
      <c r="S105" t="str">
        <f t="shared" si="1"/>
        <v>55-65</v>
      </c>
    </row>
    <row r="106" spans="1:19" x14ac:dyDescent="0.3">
      <c r="A106">
        <v>105</v>
      </c>
      <c r="B106" t="s">
        <v>241</v>
      </c>
      <c r="C106" t="s">
        <v>249</v>
      </c>
      <c r="D106" t="s">
        <v>160</v>
      </c>
      <c r="E106" t="s">
        <v>51</v>
      </c>
      <c r="F106">
        <v>50</v>
      </c>
      <c r="G106" t="s">
        <v>79</v>
      </c>
      <c r="H106">
        <v>19</v>
      </c>
      <c r="I106" t="s">
        <v>52</v>
      </c>
      <c r="J106" t="s">
        <v>113</v>
      </c>
      <c r="K106" t="s">
        <v>283</v>
      </c>
      <c r="L106" t="s">
        <v>33</v>
      </c>
      <c r="M106">
        <v>164301</v>
      </c>
      <c r="N106" t="s">
        <v>34</v>
      </c>
      <c r="O106" t="s">
        <v>57</v>
      </c>
      <c r="P106" t="s">
        <v>101</v>
      </c>
      <c r="Q106" t="s">
        <v>77</v>
      </c>
      <c r="R106" t="s">
        <v>83</v>
      </c>
      <c r="S106" t="str">
        <f t="shared" si="1"/>
        <v>45-54</v>
      </c>
    </row>
    <row r="107" spans="1:19" x14ac:dyDescent="0.3">
      <c r="A107">
        <v>106</v>
      </c>
      <c r="B107" t="s">
        <v>116</v>
      </c>
      <c r="C107" t="s">
        <v>211</v>
      </c>
      <c r="D107" t="s">
        <v>40</v>
      </c>
      <c r="E107" t="s">
        <v>28</v>
      </c>
      <c r="F107">
        <v>53</v>
      </c>
      <c r="G107" t="s">
        <v>42</v>
      </c>
      <c r="H107">
        <v>13</v>
      </c>
      <c r="I107" t="s">
        <v>43</v>
      </c>
      <c r="J107" t="s">
        <v>123</v>
      </c>
      <c r="K107" t="s">
        <v>212</v>
      </c>
      <c r="L107" t="s">
        <v>46</v>
      </c>
      <c r="M107">
        <v>318622</v>
      </c>
      <c r="N107" t="s">
        <v>115</v>
      </c>
      <c r="O107" t="s">
        <v>57</v>
      </c>
      <c r="P107" t="s">
        <v>97</v>
      </c>
      <c r="Q107" t="s">
        <v>278</v>
      </c>
      <c r="R107" t="s">
        <v>126</v>
      </c>
      <c r="S107" t="str">
        <f t="shared" si="1"/>
        <v>45-54</v>
      </c>
    </row>
    <row r="108" spans="1:19" x14ac:dyDescent="0.3">
      <c r="A108">
        <v>107</v>
      </c>
      <c r="B108" t="s">
        <v>269</v>
      </c>
      <c r="C108" t="s">
        <v>50</v>
      </c>
      <c r="D108" t="s">
        <v>149</v>
      </c>
      <c r="E108" t="s">
        <v>51</v>
      </c>
      <c r="F108">
        <v>63</v>
      </c>
      <c r="G108" t="s">
        <v>198</v>
      </c>
      <c r="H108">
        <v>4</v>
      </c>
      <c r="I108" t="s">
        <v>199</v>
      </c>
      <c r="J108" t="s">
        <v>164</v>
      </c>
      <c r="K108" t="s">
        <v>284</v>
      </c>
      <c r="L108" t="s">
        <v>33</v>
      </c>
      <c r="M108">
        <v>227914</v>
      </c>
      <c r="N108" t="s">
        <v>115</v>
      </c>
      <c r="O108" t="s">
        <v>75</v>
      </c>
      <c r="P108" t="s">
        <v>101</v>
      </c>
      <c r="Q108" t="s">
        <v>102</v>
      </c>
      <c r="R108" t="s">
        <v>103</v>
      </c>
      <c r="S108" t="str">
        <f t="shared" si="1"/>
        <v>55-65</v>
      </c>
    </row>
    <row r="109" spans="1:19" x14ac:dyDescent="0.3">
      <c r="A109">
        <v>108</v>
      </c>
      <c r="B109" t="s">
        <v>279</v>
      </c>
      <c r="C109" t="s">
        <v>224</v>
      </c>
      <c r="D109" t="s">
        <v>211</v>
      </c>
      <c r="E109" t="s">
        <v>51</v>
      </c>
      <c r="F109">
        <v>42</v>
      </c>
      <c r="G109" t="s">
        <v>144</v>
      </c>
      <c r="H109">
        <v>12</v>
      </c>
      <c r="I109" t="s">
        <v>118</v>
      </c>
      <c r="J109" t="s">
        <v>53</v>
      </c>
      <c r="K109" t="s">
        <v>188</v>
      </c>
      <c r="L109" t="s">
        <v>33</v>
      </c>
      <c r="M109">
        <v>239220</v>
      </c>
      <c r="N109" t="s">
        <v>47</v>
      </c>
      <c r="O109" t="s">
        <v>35</v>
      </c>
      <c r="P109" t="s">
        <v>58</v>
      </c>
      <c r="Q109" t="s">
        <v>165</v>
      </c>
      <c r="R109" t="s">
        <v>83</v>
      </c>
      <c r="S109" t="str">
        <f t="shared" si="1"/>
        <v>35-44</v>
      </c>
    </row>
    <row r="110" spans="1:19" x14ac:dyDescent="0.3">
      <c r="A110">
        <v>109</v>
      </c>
      <c r="B110" t="s">
        <v>159</v>
      </c>
      <c r="C110" t="s">
        <v>189</v>
      </c>
      <c r="D110" t="s">
        <v>63</v>
      </c>
      <c r="E110" t="s">
        <v>28</v>
      </c>
      <c r="F110">
        <v>56</v>
      </c>
      <c r="G110" t="s">
        <v>79</v>
      </c>
      <c r="H110">
        <v>9</v>
      </c>
      <c r="I110" t="s">
        <v>52</v>
      </c>
      <c r="J110" t="s">
        <v>44</v>
      </c>
      <c r="K110" t="s">
        <v>45</v>
      </c>
      <c r="L110" t="s">
        <v>67</v>
      </c>
      <c r="M110">
        <v>33118</v>
      </c>
      <c r="N110" t="s">
        <v>47</v>
      </c>
      <c r="O110" t="s">
        <v>57</v>
      </c>
      <c r="P110" t="s">
        <v>169</v>
      </c>
      <c r="Q110" t="s">
        <v>240</v>
      </c>
      <c r="R110" t="s">
        <v>103</v>
      </c>
      <c r="S110" t="str">
        <f t="shared" si="1"/>
        <v>55-65</v>
      </c>
    </row>
    <row r="111" spans="1:19" x14ac:dyDescent="0.3">
      <c r="A111">
        <v>110</v>
      </c>
      <c r="B111" t="s">
        <v>275</v>
      </c>
      <c r="C111" t="s">
        <v>86</v>
      </c>
      <c r="D111" t="s">
        <v>204</v>
      </c>
      <c r="E111" t="s">
        <v>28</v>
      </c>
      <c r="F111">
        <v>26</v>
      </c>
      <c r="G111" t="s">
        <v>79</v>
      </c>
      <c r="H111">
        <v>18</v>
      </c>
      <c r="I111" t="s">
        <v>52</v>
      </c>
      <c r="J111" t="s">
        <v>123</v>
      </c>
      <c r="K111" t="s">
        <v>262</v>
      </c>
      <c r="L111" t="s">
        <v>206</v>
      </c>
      <c r="M111">
        <v>227879</v>
      </c>
      <c r="N111" t="s">
        <v>56</v>
      </c>
      <c r="O111" t="s">
        <v>57</v>
      </c>
      <c r="P111" t="s">
        <v>36</v>
      </c>
      <c r="Q111" t="s">
        <v>37</v>
      </c>
      <c r="R111" t="s">
        <v>60</v>
      </c>
      <c r="S111" t="str">
        <f t="shared" si="1"/>
        <v>25-34</v>
      </c>
    </row>
    <row r="112" spans="1:19" x14ac:dyDescent="0.3">
      <c r="A112">
        <v>111</v>
      </c>
      <c r="B112" t="s">
        <v>285</v>
      </c>
      <c r="C112" t="s">
        <v>175</v>
      </c>
      <c r="D112" t="s">
        <v>157</v>
      </c>
      <c r="E112" t="s">
        <v>51</v>
      </c>
      <c r="F112">
        <v>32</v>
      </c>
      <c r="G112" t="s">
        <v>87</v>
      </c>
      <c r="H112">
        <v>25</v>
      </c>
      <c r="I112" t="s">
        <v>140</v>
      </c>
      <c r="J112" t="s">
        <v>123</v>
      </c>
      <c r="K112" t="s">
        <v>286</v>
      </c>
      <c r="L112" t="s">
        <v>33</v>
      </c>
      <c r="M112">
        <v>31622</v>
      </c>
      <c r="N112" t="s">
        <v>56</v>
      </c>
      <c r="O112" t="s">
        <v>75</v>
      </c>
      <c r="P112" t="s">
        <v>169</v>
      </c>
      <c r="Q112" t="s">
        <v>207</v>
      </c>
      <c r="R112" t="s">
        <v>126</v>
      </c>
      <c r="S112" t="str">
        <f t="shared" si="1"/>
        <v>25-34</v>
      </c>
    </row>
    <row r="113" spans="1:19" x14ac:dyDescent="0.3">
      <c r="A113">
        <v>112</v>
      </c>
      <c r="B113" t="s">
        <v>287</v>
      </c>
      <c r="C113" t="s">
        <v>111</v>
      </c>
      <c r="D113" t="s">
        <v>211</v>
      </c>
      <c r="E113" t="s">
        <v>28</v>
      </c>
      <c r="F113">
        <v>28</v>
      </c>
      <c r="G113" t="s">
        <v>144</v>
      </c>
      <c r="H113">
        <v>20</v>
      </c>
      <c r="I113" t="s">
        <v>118</v>
      </c>
      <c r="J113" t="s">
        <v>123</v>
      </c>
      <c r="K113" t="s">
        <v>261</v>
      </c>
      <c r="L113" t="s">
        <v>67</v>
      </c>
      <c r="M113">
        <v>284120</v>
      </c>
      <c r="N113" t="s">
        <v>96</v>
      </c>
      <c r="O113" t="s">
        <v>35</v>
      </c>
      <c r="P113" t="s">
        <v>169</v>
      </c>
      <c r="Q113" t="s">
        <v>170</v>
      </c>
      <c r="R113" t="s">
        <v>103</v>
      </c>
      <c r="S113" t="str">
        <f t="shared" si="1"/>
        <v>25-34</v>
      </c>
    </row>
    <row r="114" spans="1:19" x14ac:dyDescent="0.3">
      <c r="A114">
        <v>113</v>
      </c>
      <c r="B114" t="s">
        <v>288</v>
      </c>
      <c r="C114" t="s">
        <v>138</v>
      </c>
      <c r="D114" t="s">
        <v>211</v>
      </c>
      <c r="E114" t="s">
        <v>51</v>
      </c>
      <c r="F114">
        <v>32</v>
      </c>
      <c r="G114" t="s">
        <v>79</v>
      </c>
      <c r="H114">
        <v>25</v>
      </c>
      <c r="I114" t="s">
        <v>80</v>
      </c>
      <c r="J114" t="s">
        <v>44</v>
      </c>
      <c r="K114" t="s">
        <v>88</v>
      </c>
      <c r="L114" t="s">
        <v>206</v>
      </c>
      <c r="M114">
        <v>111766</v>
      </c>
      <c r="N114" t="s">
        <v>115</v>
      </c>
      <c r="O114" t="s">
        <v>57</v>
      </c>
      <c r="P114" t="s">
        <v>36</v>
      </c>
      <c r="Q114" t="s">
        <v>161</v>
      </c>
      <c r="R114" t="s">
        <v>126</v>
      </c>
      <c r="S114" t="str">
        <f t="shared" si="1"/>
        <v>25-34</v>
      </c>
    </row>
    <row r="115" spans="1:19" x14ac:dyDescent="0.3">
      <c r="A115">
        <v>114</v>
      </c>
      <c r="B115" t="s">
        <v>191</v>
      </c>
      <c r="C115" t="s">
        <v>111</v>
      </c>
      <c r="D115" t="s">
        <v>260</v>
      </c>
      <c r="E115" t="s">
        <v>51</v>
      </c>
      <c r="F115">
        <v>28</v>
      </c>
      <c r="G115" t="s">
        <v>139</v>
      </c>
      <c r="H115">
        <v>17</v>
      </c>
      <c r="I115" t="s">
        <v>140</v>
      </c>
      <c r="J115" t="s">
        <v>94</v>
      </c>
      <c r="K115" t="s">
        <v>271</v>
      </c>
      <c r="L115" t="s">
        <v>55</v>
      </c>
      <c r="M115">
        <v>52747</v>
      </c>
      <c r="N115" t="s">
        <v>34</v>
      </c>
      <c r="O115" t="s">
        <v>75</v>
      </c>
      <c r="P115" t="s">
        <v>68</v>
      </c>
      <c r="Q115" t="s">
        <v>267</v>
      </c>
      <c r="R115" t="s">
        <v>103</v>
      </c>
      <c r="S115" t="str">
        <f t="shared" si="1"/>
        <v>25-34</v>
      </c>
    </row>
    <row r="116" spans="1:19" x14ac:dyDescent="0.3">
      <c r="A116">
        <v>115</v>
      </c>
      <c r="B116" t="s">
        <v>289</v>
      </c>
      <c r="C116" t="s">
        <v>273</v>
      </c>
      <c r="D116" t="s">
        <v>86</v>
      </c>
      <c r="E116" t="s">
        <v>51</v>
      </c>
      <c r="F116">
        <v>23</v>
      </c>
      <c r="G116" t="s">
        <v>42</v>
      </c>
      <c r="H116">
        <v>28</v>
      </c>
      <c r="I116" t="s">
        <v>112</v>
      </c>
      <c r="J116" t="s">
        <v>113</v>
      </c>
      <c r="K116" t="s">
        <v>290</v>
      </c>
      <c r="L116" t="s">
        <v>46</v>
      </c>
      <c r="M116">
        <v>160015</v>
      </c>
      <c r="N116" t="s">
        <v>115</v>
      </c>
      <c r="O116" t="s">
        <v>57</v>
      </c>
      <c r="P116" t="s">
        <v>169</v>
      </c>
      <c r="Q116" t="s">
        <v>240</v>
      </c>
      <c r="R116" t="s">
        <v>60</v>
      </c>
      <c r="S116" t="str">
        <f t="shared" si="1"/>
        <v>18-24</v>
      </c>
    </row>
    <row r="117" spans="1:19" x14ac:dyDescent="0.3">
      <c r="A117">
        <v>116</v>
      </c>
      <c r="B117" t="s">
        <v>166</v>
      </c>
      <c r="C117" t="s">
        <v>178</v>
      </c>
      <c r="D117" t="s">
        <v>41</v>
      </c>
      <c r="E117" t="s">
        <v>28</v>
      </c>
      <c r="F117">
        <v>41</v>
      </c>
      <c r="G117" t="s">
        <v>139</v>
      </c>
      <c r="H117">
        <v>2</v>
      </c>
      <c r="I117" t="s">
        <v>140</v>
      </c>
      <c r="J117" t="s">
        <v>123</v>
      </c>
      <c r="K117" t="s">
        <v>124</v>
      </c>
      <c r="L117" t="s">
        <v>55</v>
      </c>
      <c r="M117">
        <v>348111</v>
      </c>
      <c r="N117" t="s">
        <v>115</v>
      </c>
      <c r="O117" t="s">
        <v>35</v>
      </c>
      <c r="P117" t="s">
        <v>68</v>
      </c>
      <c r="Q117" t="s">
        <v>134</v>
      </c>
      <c r="R117" t="s">
        <v>83</v>
      </c>
      <c r="S117" t="str">
        <f t="shared" si="1"/>
        <v>35-44</v>
      </c>
    </row>
    <row r="118" spans="1:19" x14ac:dyDescent="0.3">
      <c r="A118">
        <v>117</v>
      </c>
      <c r="B118" t="s">
        <v>287</v>
      </c>
      <c r="C118" t="s">
        <v>50</v>
      </c>
      <c r="D118" t="s">
        <v>131</v>
      </c>
      <c r="E118" t="s">
        <v>28</v>
      </c>
      <c r="F118">
        <v>62</v>
      </c>
      <c r="G118" t="s">
        <v>194</v>
      </c>
      <c r="H118">
        <v>10</v>
      </c>
      <c r="I118" t="s">
        <v>132</v>
      </c>
      <c r="J118" t="s">
        <v>164</v>
      </c>
      <c r="K118" t="s">
        <v>253</v>
      </c>
      <c r="L118" t="s">
        <v>33</v>
      </c>
      <c r="M118">
        <v>159768</v>
      </c>
      <c r="N118" t="s">
        <v>34</v>
      </c>
      <c r="O118" t="s">
        <v>35</v>
      </c>
      <c r="P118" t="s">
        <v>169</v>
      </c>
      <c r="Q118" t="s">
        <v>265</v>
      </c>
      <c r="R118" t="s">
        <v>83</v>
      </c>
      <c r="S118" t="str">
        <f t="shared" si="1"/>
        <v>55-65</v>
      </c>
    </row>
    <row r="119" spans="1:19" x14ac:dyDescent="0.3">
      <c r="A119">
        <v>118</v>
      </c>
      <c r="B119" t="s">
        <v>238</v>
      </c>
      <c r="C119" t="s">
        <v>167</v>
      </c>
      <c r="D119" t="s">
        <v>106</v>
      </c>
      <c r="E119" t="s">
        <v>28</v>
      </c>
      <c r="F119">
        <v>36</v>
      </c>
      <c r="G119" t="s">
        <v>150</v>
      </c>
      <c r="H119">
        <v>17</v>
      </c>
      <c r="I119" t="s">
        <v>112</v>
      </c>
      <c r="J119" t="s">
        <v>123</v>
      </c>
      <c r="K119" t="s">
        <v>245</v>
      </c>
      <c r="L119" t="s">
        <v>67</v>
      </c>
      <c r="M119">
        <v>47038</v>
      </c>
      <c r="N119" t="s">
        <v>96</v>
      </c>
      <c r="O119" t="s">
        <v>75</v>
      </c>
      <c r="P119" t="s">
        <v>68</v>
      </c>
      <c r="Q119" t="s">
        <v>147</v>
      </c>
      <c r="R119" t="s">
        <v>126</v>
      </c>
      <c r="S119" t="str">
        <f t="shared" si="1"/>
        <v>35-44</v>
      </c>
    </row>
    <row r="120" spans="1:19" x14ac:dyDescent="0.3">
      <c r="A120">
        <v>119</v>
      </c>
      <c r="B120" t="s">
        <v>291</v>
      </c>
      <c r="C120" t="s">
        <v>62</v>
      </c>
      <c r="D120" t="s">
        <v>117</v>
      </c>
      <c r="E120" t="s">
        <v>51</v>
      </c>
      <c r="F120">
        <v>63</v>
      </c>
      <c r="G120" t="s">
        <v>150</v>
      </c>
      <c r="H120">
        <v>18</v>
      </c>
      <c r="I120" t="s">
        <v>112</v>
      </c>
      <c r="J120" t="s">
        <v>113</v>
      </c>
      <c r="K120" t="s">
        <v>292</v>
      </c>
      <c r="L120" t="s">
        <v>46</v>
      </c>
      <c r="M120">
        <v>153087</v>
      </c>
      <c r="N120" t="s">
        <v>47</v>
      </c>
      <c r="O120" t="s">
        <v>35</v>
      </c>
      <c r="P120" t="s">
        <v>169</v>
      </c>
      <c r="Q120" t="s">
        <v>240</v>
      </c>
      <c r="R120" t="s">
        <v>126</v>
      </c>
      <c r="S120" t="str">
        <f t="shared" si="1"/>
        <v>55-65</v>
      </c>
    </row>
    <row r="121" spans="1:19" x14ac:dyDescent="0.3">
      <c r="A121">
        <v>120</v>
      </c>
      <c r="B121" t="s">
        <v>223</v>
      </c>
      <c r="C121" t="s">
        <v>121</v>
      </c>
      <c r="D121" t="s">
        <v>121</v>
      </c>
      <c r="E121" t="s">
        <v>51</v>
      </c>
      <c r="F121">
        <v>51</v>
      </c>
      <c r="G121" t="s">
        <v>64</v>
      </c>
      <c r="H121">
        <v>17</v>
      </c>
      <c r="I121" t="s">
        <v>65</v>
      </c>
      <c r="J121" t="s">
        <v>53</v>
      </c>
      <c r="K121" t="s">
        <v>54</v>
      </c>
      <c r="L121" t="s">
        <v>46</v>
      </c>
      <c r="M121">
        <v>276312</v>
      </c>
      <c r="N121" t="s">
        <v>56</v>
      </c>
      <c r="O121" t="s">
        <v>35</v>
      </c>
      <c r="P121" t="s">
        <v>36</v>
      </c>
      <c r="Q121" t="s">
        <v>185</v>
      </c>
      <c r="R121" t="s">
        <v>103</v>
      </c>
      <c r="S121" t="str">
        <f t="shared" si="1"/>
        <v>45-54</v>
      </c>
    </row>
    <row r="122" spans="1:19" x14ac:dyDescent="0.3">
      <c r="A122">
        <v>121</v>
      </c>
      <c r="B122" t="s">
        <v>254</v>
      </c>
      <c r="C122" t="s">
        <v>249</v>
      </c>
      <c r="D122" t="s">
        <v>63</v>
      </c>
      <c r="E122" t="s">
        <v>51</v>
      </c>
      <c r="F122">
        <v>40</v>
      </c>
      <c r="G122" t="s">
        <v>87</v>
      </c>
      <c r="H122">
        <v>9</v>
      </c>
      <c r="I122" t="s">
        <v>80</v>
      </c>
      <c r="J122" t="s">
        <v>44</v>
      </c>
      <c r="K122" t="s">
        <v>44</v>
      </c>
      <c r="L122" t="s">
        <v>33</v>
      </c>
      <c r="M122">
        <v>88188</v>
      </c>
      <c r="N122" t="s">
        <v>56</v>
      </c>
      <c r="O122" t="s">
        <v>75</v>
      </c>
      <c r="P122" t="s">
        <v>101</v>
      </c>
      <c r="Q122" t="s">
        <v>77</v>
      </c>
      <c r="R122" t="s">
        <v>83</v>
      </c>
      <c r="S122" t="str">
        <f t="shared" si="1"/>
        <v>35-44</v>
      </c>
    </row>
    <row r="123" spans="1:19" x14ac:dyDescent="0.3">
      <c r="A123">
        <v>122</v>
      </c>
      <c r="B123" t="s">
        <v>264</v>
      </c>
      <c r="C123" t="s">
        <v>178</v>
      </c>
      <c r="D123" t="s">
        <v>110</v>
      </c>
      <c r="E123" t="s">
        <v>28</v>
      </c>
      <c r="F123">
        <v>61</v>
      </c>
      <c r="G123" t="s">
        <v>87</v>
      </c>
      <c r="H123">
        <v>27</v>
      </c>
      <c r="I123" t="s">
        <v>140</v>
      </c>
      <c r="J123" t="s">
        <v>44</v>
      </c>
      <c r="K123" t="s">
        <v>293</v>
      </c>
      <c r="L123" t="s">
        <v>67</v>
      </c>
      <c r="M123">
        <v>222949</v>
      </c>
      <c r="N123" t="s">
        <v>34</v>
      </c>
      <c r="O123" t="s">
        <v>75</v>
      </c>
      <c r="P123" t="s">
        <v>89</v>
      </c>
      <c r="Q123" t="s">
        <v>225</v>
      </c>
      <c r="R123" t="s">
        <v>103</v>
      </c>
      <c r="S123" t="str">
        <f t="shared" si="1"/>
        <v>55-65</v>
      </c>
    </row>
    <row r="124" spans="1:19" x14ac:dyDescent="0.3">
      <c r="A124">
        <v>123</v>
      </c>
      <c r="B124" t="s">
        <v>256</v>
      </c>
      <c r="C124" t="s">
        <v>183</v>
      </c>
      <c r="D124" t="s">
        <v>172</v>
      </c>
      <c r="E124" t="s">
        <v>28</v>
      </c>
      <c r="F124">
        <v>37</v>
      </c>
      <c r="G124" t="s">
        <v>29</v>
      </c>
      <c r="H124">
        <v>29</v>
      </c>
      <c r="I124" t="s">
        <v>52</v>
      </c>
      <c r="J124" t="s">
        <v>113</v>
      </c>
      <c r="K124" t="s">
        <v>114</v>
      </c>
      <c r="L124" t="s">
        <v>46</v>
      </c>
      <c r="M124">
        <v>346247</v>
      </c>
      <c r="N124" t="s">
        <v>96</v>
      </c>
      <c r="O124" t="s">
        <v>57</v>
      </c>
      <c r="P124" t="s">
        <v>36</v>
      </c>
      <c r="Q124" t="s">
        <v>48</v>
      </c>
      <c r="R124" t="s">
        <v>60</v>
      </c>
      <c r="S124" t="str">
        <f t="shared" si="1"/>
        <v>35-44</v>
      </c>
    </row>
    <row r="125" spans="1:19" x14ac:dyDescent="0.3">
      <c r="A125">
        <v>124</v>
      </c>
      <c r="B125" t="s">
        <v>256</v>
      </c>
      <c r="C125" t="s">
        <v>178</v>
      </c>
      <c r="D125" t="s">
        <v>111</v>
      </c>
      <c r="E125" t="s">
        <v>28</v>
      </c>
      <c r="F125">
        <v>35</v>
      </c>
      <c r="G125" t="s">
        <v>194</v>
      </c>
      <c r="H125">
        <v>28</v>
      </c>
      <c r="I125" t="s">
        <v>65</v>
      </c>
      <c r="J125" t="s">
        <v>44</v>
      </c>
      <c r="K125" t="s">
        <v>294</v>
      </c>
      <c r="L125" t="s">
        <v>206</v>
      </c>
      <c r="M125">
        <v>155748</v>
      </c>
      <c r="N125" t="s">
        <v>96</v>
      </c>
      <c r="O125" t="s">
        <v>57</v>
      </c>
      <c r="P125" t="s">
        <v>101</v>
      </c>
      <c r="Q125" t="s">
        <v>77</v>
      </c>
      <c r="R125" t="s">
        <v>83</v>
      </c>
      <c r="S125" t="str">
        <f t="shared" si="1"/>
        <v>35-44</v>
      </c>
    </row>
    <row r="126" spans="1:19" x14ac:dyDescent="0.3">
      <c r="A126">
        <v>125</v>
      </c>
      <c r="B126" t="s">
        <v>258</v>
      </c>
      <c r="C126" t="s">
        <v>146</v>
      </c>
      <c r="D126" t="s">
        <v>117</v>
      </c>
      <c r="E126" t="s">
        <v>28</v>
      </c>
      <c r="F126">
        <v>35</v>
      </c>
      <c r="G126" t="s">
        <v>87</v>
      </c>
      <c r="H126">
        <v>30</v>
      </c>
      <c r="I126" t="s">
        <v>140</v>
      </c>
      <c r="J126" t="s">
        <v>164</v>
      </c>
      <c r="K126" t="s">
        <v>209</v>
      </c>
      <c r="L126" t="s">
        <v>46</v>
      </c>
      <c r="M126">
        <v>32230</v>
      </c>
      <c r="N126" t="s">
        <v>115</v>
      </c>
      <c r="O126" t="s">
        <v>75</v>
      </c>
      <c r="P126" t="s">
        <v>101</v>
      </c>
      <c r="Q126" t="s">
        <v>82</v>
      </c>
      <c r="R126" t="s">
        <v>83</v>
      </c>
      <c r="S126" t="str">
        <f t="shared" si="1"/>
        <v>35-44</v>
      </c>
    </row>
    <row r="127" spans="1:19" x14ac:dyDescent="0.3">
      <c r="A127">
        <v>126</v>
      </c>
      <c r="B127" t="s">
        <v>266</v>
      </c>
      <c r="C127" t="s">
        <v>204</v>
      </c>
      <c r="D127" t="s">
        <v>187</v>
      </c>
      <c r="E127" t="s">
        <v>51</v>
      </c>
      <c r="F127">
        <v>56</v>
      </c>
      <c r="G127" t="s">
        <v>72</v>
      </c>
      <c r="H127">
        <v>10</v>
      </c>
      <c r="I127" t="s">
        <v>122</v>
      </c>
      <c r="J127" t="s">
        <v>53</v>
      </c>
      <c r="K127" t="s">
        <v>141</v>
      </c>
      <c r="L127" t="s">
        <v>55</v>
      </c>
      <c r="M127">
        <v>242969</v>
      </c>
      <c r="N127" t="s">
        <v>96</v>
      </c>
      <c r="O127" t="s">
        <v>35</v>
      </c>
      <c r="P127" t="s">
        <v>58</v>
      </c>
      <c r="Q127" t="s">
        <v>176</v>
      </c>
      <c r="R127" t="s">
        <v>83</v>
      </c>
      <c r="S127" t="str">
        <f t="shared" si="1"/>
        <v>55-65</v>
      </c>
    </row>
    <row r="128" spans="1:19" x14ac:dyDescent="0.3">
      <c r="A128">
        <v>127</v>
      </c>
      <c r="B128" t="s">
        <v>295</v>
      </c>
      <c r="C128" t="s">
        <v>249</v>
      </c>
      <c r="D128" t="s">
        <v>149</v>
      </c>
      <c r="E128" t="s">
        <v>51</v>
      </c>
      <c r="F128">
        <v>41</v>
      </c>
      <c r="G128" t="s">
        <v>64</v>
      </c>
      <c r="H128">
        <v>22</v>
      </c>
      <c r="I128" t="s">
        <v>118</v>
      </c>
      <c r="J128" t="s">
        <v>44</v>
      </c>
      <c r="K128" t="s">
        <v>184</v>
      </c>
      <c r="L128" t="s">
        <v>67</v>
      </c>
      <c r="M128">
        <v>333712</v>
      </c>
      <c r="N128" t="s">
        <v>56</v>
      </c>
      <c r="O128" t="s">
        <v>75</v>
      </c>
      <c r="P128" t="s">
        <v>36</v>
      </c>
      <c r="Q128" t="s">
        <v>161</v>
      </c>
      <c r="R128" t="s">
        <v>103</v>
      </c>
      <c r="S128" t="str">
        <f t="shared" si="1"/>
        <v>35-44</v>
      </c>
    </row>
    <row r="129" spans="1:19" x14ac:dyDescent="0.3">
      <c r="A129">
        <v>128</v>
      </c>
      <c r="B129" t="s">
        <v>296</v>
      </c>
      <c r="C129" t="s">
        <v>280</v>
      </c>
      <c r="D129" t="s">
        <v>143</v>
      </c>
      <c r="E129" t="s">
        <v>28</v>
      </c>
      <c r="F129">
        <v>54</v>
      </c>
      <c r="G129" t="s">
        <v>72</v>
      </c>
      <c r="H129">
        <v>12</v>
      </c>
      <c r="I129" t="s">
        <v>122</v>
      </c>
      <c r="J129" t="s">
        <v>53</v>
      </c>
      <c r="K129" t="s">
        <v>213</v>
      </c>
      <c r="L129" t="s">
        <v>206</v>
      </c>
      <c r="M129">
        <v>57936</v>
      </c>
      <c r="N129" t="s">
        <v>47</v>
      </c>
      <c r="O129" t="s">
        <v>57</v>
      </c>
      <c r="P129" t="s">
        <v>97</v>
      </c>
      <c r="Q129" t="s">
        <v>152</v>
      </c>
      <c r="R129" t="s">
        <v>103</v>
      </c>
      <c r="S129" t="str">
        <f t="shared" si="1"/>
        <v>45-54</v>
      </c>
    </row>
    <row r="130" spans="1:19" x14ac:dyDescent="0.3">
      <c r="A130">
        <v>129</v>
      </c>
      <c r="B130" t="s">
        <v>297</v>
      </c>
      <c r="C130" t="s">
        <v>131</v>
      </c>
      <c r="D130" t="s">
        <v>224</v>
      </c>
      <c r="E130" t="s">
        <v>28</v>
      </c>
      <c r="F130">
        <v>33</v>
      </c>
      <c r="G130" t="s">
        <v>87</v>
      </c>
      <c r="H130">
        <v>13</v>
      </c>
      <c r="I130" t="s">
        <v>80</v>
      </c>
      <c r="J130" t="s">
        <v>53</v>
      </c>
      <c r="K130" t="s">
        <v>188</v>
      </c>
      <c r="L130" t="s">
        <v>206</v>
      </c>
      <c r="M130">
        <v>258808</v>
      </c>
      <c r="N130" t="s">
        <v>56</v>
      </c>
      <c r="O130" t="s">
        <v>57</v>
      </c>
      <c r="P130" t="s">
        <v>101</v>
      </c>
      <c r="Q130" t="s">
        <v>129</v>
      </c>
      <c r="R130" t="s">
        <v>126</v>
      </c>
      <c r="S130" t="str">
        <f t="shared" ref="S130:S193" si="2">IF(F130&lt;25,"18-24",IF(F130&lt;35,"25-34",IF(F130&lt;45,"35-44",IF(F130&lt;55,"45-54","55-65"))))</f>
        <v>25-34</v>
      </c>
    </row>
    <row r="131" spans="1:19" x14ac:dyDescent="0.3">
      <c r="A131">
        <v>130</v>
      </c>
      <c r="B131" t="s">
        <v>162</v>
      </c>
      <c r="C131" t="s">
        <v>111</v>
      </c>
      <c r="D131" t="s">
        <v>154</v>
      </c>
      <c r="E131" t="s">
        <v>28</v>
      </c>
      <c r="F131">
        <v>36</v>
      </c>
      <c r="G131" t="s">
        <v>107</v>
      </c>
      <c r="H131">
        <v>15</v>
      </c>
      <c r="I131" t="s">
        <v>73</v>
      </c>
      <c r="J131" t="s">
        <v>31</v>
      </c>
      <c r="K131" t="s">
        <v>182</v>
      </c>
      <c r="L131" t="s">
        <v>33</v>
      </c>
      <c r="M131">
        <v>47310</v>
      </c>
      <c r="N131" t="s">
        <v>96</v>
      </c>
      <c r="O131" t="s">
        <v>35</v>
      </c>
      <c r="P131" t="s">
        <v>89</v>
      </c>
      <c r="Q131" t="s">
        <v>90</v>
      </c>
      <c r="R131" t="s">
        <v>103</v>
      </c>
      <c r="S131" t="str">
        <f t="shared" si="2"/>
        <v>35-44</v>
      </c>
    </row>
    <row r="132" spans="1:19" x14ac:dyDescent="0.3">
      <c r="A132">
        <v>131</v>
      </c>
      <c r="B132" t="s">
        <v>148</v>
      </c>
      <c r="C132" t="s">
        <v>121</v>
      </c>
      <c r="D132" t="s">
        <v>178</v>
      </c>
      <c r="E132" t="s">
        <v>28</v>
      </c>
      <c r="F132">
        <v>36</v>
      </c>
      <c r="G132" t="s">
        <v>107</v>
      </c>
      <c r="H132">
        <v>3</v>
      </c>
      <c r="I132" t="s">
        <v>73</v>
      </c>
      <c r="J132" t="s">
        <v>94</v>
      </c>
      <c r="K132" t="s">
        <v>151</v>
      </c>
      <c r="L132" t="s">
        <v>67</v>
      </c>
      <c r="M132">
        <v>250574</v>
      </c>
      <c r="N132" t="s">
        <v>47</v>
      </c>
      <c r="O132" t="s">
        <v>75</v>
      </c>
      <c r="P132" t="s">
        <v>230</v>
      </c>
      <c r="Q132" t="s">
        <v>298</v>
      </c>
      <c r="R132" t="s">
        <v>38</v>
      </c>
      <c r="S132" t="str">
        <f t="shared" si="2"/>
        <v>35-44</v>
      </c>
    </row>
    <row r="133" spans="1:19" x14ac:dyDescent="0.3">
      <c r="A133">
        <v>132</v>
      </c>
      <c r="B133" t="s">
        <v>177</v>
      </c>
      <c r="C133" t="s">
        <v>131</v>
      </c>
      <c r="D133" t="s">
        <v>143</v>
      </c>
      <c r="E133" t="s">
        <v>28</v>
      </c>
      <c r="F133">
        <v>47</v>
      </c>
      <c r="G133" t="s">
        <v>198</v>
      </c>
      <c r="H133">
        <v>1</v>
      </c>
      <c r="I133" t="s">
        <v>199</v>
      </c>
      <c r="J133" t="s">
        <v>53</v>
      </c>
      <c r="K133" t="s">
        <v>66</v>
      </c>
      <c r="L133" t="s">
        <v>33</v>
      </c>
      <c r="M133">
        <v>216122</v>
      </c>
      <c r="N133" t="s">
        <v>34</v>
      </c>
      <c r="O133" t="s">
        <v>57</v>
      </c>
      <c r="P133" t="s">
        <v>36</v>
      </c>
      <c r="Q133" t="s">
        <v>161</v>
      </c>
      <c r="R133" t="s">
        <v>103</v>
      </c>
      <c r="S133" t="str">
        <f t="shared" si="2"/>
        <v>45-54</v>
      </c>
    </row>
    <row r="134" spans="1:19" x14ac:dyDescent="0.3">
      <c r="A134">
        <v>133</v>
      </c>
      <c r="B134" t="s">
        <v>279</v>
      </c>
      <c r="C134" t="s">
        <v>136</v>
      </c>
      <c r="D134" t="s">
        <v>111</v>
      </c>
      <c r="E134" t="s">
        <v>51</v>
      </c>
      <c r="F134">
        <v>26</v>
      </c>
      <c r="G134" t="s">
        <v>139</v>
      </c>
      <c r="H134">
        <v>27</v>
      </c>
      <c r="I134" t="s">
        <v>199</v>
      </c>
      <c r="J134" t="s">
        <v>94</v>
      </c>
      <c r="K134" t="s">
        <v>268</v>
      </c>
      <c r="L134" t="s">
        <v>46</v>
      </c>
      <c r="M134">
        <v>160241</v>
      </c>
      <c r="N134" t="s">
        <v>47</v>
      </c>
      <c r="O134" t="s">
        <v>35</v>
      </c>
      <c r="P134" t="s">
        <v>76</v>
      </c>
      <c r="Q134" t="s">
        <v>82</v>
      </c>
      <c r="R134" t="s">
        <v>126</v>
      </c>
      <c r="S134" t="str">
        <f t="shared" si="2"/>
        <v>25-34</v>
      </c>
    </row>
    <row r="135" spans="1:19" x14ac:dyDescent="0.3">
      <c r="A135">
        <v>134</v>
      </c>
      <c r="B135" t="s">
        <v>296</v>
      </c>
      <c r="C135" t="s">
        <v>221</v>
      </c>
      <c r="D135" t="s">
        <v>163</v>
      </c>
      <c r="E135" t="s">
        <v>28</v>
      </c>
      <c r="F135">
        <v>37</v>
      </c>
      <c r="G135" t="s">
        <v>194</v>
      </c>
      <c r="H135">
        <v>27</v>
      </c>
      <c r="I135" t="s">
        <v>65</v>
      </c>
      <c r="J135" t="s">
        <v>113</v>
      </c>
      <c r="K135" t="s">
        <v>281</v>
      </c>
      <c r="L135" t="s">
        <v>67</v>
      </c>
      <c r="M135">
        <v>116318</v>
      </c>
      <c r="N135" t="s">
        <v>47</v>
      </c>
      <c r="O135" t="s">
        <v>75</v>
      </c>
      <c r="P135" t="s">
        <v>169</v>
      </c>
      <c r="Q135" t="s">
        <v>207</v>
      </c>
      <c r="R135" t="s">
        <v>83</v>
      </c>
      <c r="S135" t="str">
        <f t="shared" si="2"/>
        <v>35-44</v>
      </c>
    </row>
    <row r="136" spans="1:19" x14ac:dyDescent="0.3">
      <c r="A136">
        <v>135</v>
      </c>
      <c r="B136" t="s">
        <v>162</v>
      </c>
      <c r="C136" t="s">
        <v>183</v>
      </c>
      <c r="D136" t="s">
        <v>249</v>
      </c>
      <c r="E136" t="s">
        <v>28</v>
      </c>
      <c r="F136">
        <v>37</v>
      </c>
      <c r="G136" t="s">
        <v>42</v>
      </c>
      <c r="H136">
        <v>9</v>
      </c>
      <c r="I136" t="s">
        <v>43</v>
      </c>
      <c r="J136" t="s">
        <v>31</v>
      </c>
      <c r="K136" t="s">
        <v>299</v>
      </c>
      <c r="L136" t="s">
        <v>67</v>
      </c>
      <c r="M136">
        <v>37233</v>
      </c>
      <c r="N136" t="s">
        <v>56</v>
      </c>
      <c r="O136" t="s">
        <v>75</v>
      </c>
      <c r="P136" t="s">
        <v>217</v>
      </c>
      <c r="Q136" t="s">
        <v>218</v>
      </c>
      <c r="R136" t="s">
        <v>38</v>
      </c>
      <c r="S136" t="str">
        <f t="shared" si="2"/>
        <v>35-44</v>
      </c>
    </row>
    <row r="137" spans="1:19" x14ac:dyDescent="0.3">
      <c r="A137">
        <v>136</v>
      </c>
      <c r="B137" t="s">
        <v>300</v>
      </c>
      <c r="C137" t="s">
        <v>106</v>
      </c>
      <c r="D137" t="s">
        <v>40</v>
      </c>
      <c r="E137" t="s">
        <v>28</v>
      </c>
      <c r="F137">
        <v>19</v>
      </c>
      <c r="G137" t="s">
        <v>87</v>
      </c>
      <c r="H137">
        <v>27</v>
      </c>
      <c r="I137" t="s">
        <v>140</v>
      </c>
      <c r="J137" t="s">
        <v>94</v>
      </c>
      <c r="K137" t="s">
        <v>100</v>
      </c>
      <c r="L137" t="s">
        <v>46</v>
      </c>
      <c r="M137">
        <v>332249</v>
      </c>
      <c r="N137" t="s">
        <v>47</v>
      </c>
      <c r="O137" t="s">
        <v>75</v>
      </c>
      <c r="P137" t="s">
        <v>101</v>
      </c>
      <c r="Q137" t="s">
        <v>129</v>
      </c>
      <c r="R137" t="s">
        <v>38</v>
      </c>
      <c r="S137" t="str">
        <f t="shared" si="2"/>
        <v>18-24</v>
      </c>
    </row>
    <row r="138" spans="1:19" x14ac:dyDescent="0.3">
      <c r="A138">
        <v>137</v>
      </c>
      <c r="B138" t="s">
        <v>186</v>
      </c>
      <c r="C138" t="s">
        <v>249</v>
      </c>
      <c r="D138" t="s">
        <v>41</v>
      </c>
      <c r="E138" t="s">
        <v>51</v>
      </c>
      <c r="F138">
        <v>36</v>
      </c>
      <c r="G138" t="s">
        <v>198</v>
      </c>
      <c r="H138">
        <v>29</v>
      </c>
      <c r="I138" t="s">
        <v>43</v>
      </c>
      <c r="J138" t="s">
        <v>44</v>
      </c>
      <c r="K138" t="s">
        <v>81</v>
      </c>
      <c r="L138" t="s">
        <v>206</v>
      </c>
      <c r="M138">
        <v>89483</v>
      </c>
      <c r="N138" t="s">
        <v>47</v>
      </c>
      <c r="O138" t="s">
        <v>57</v>
      </c>
      <c r="P138" t="s">
        <v>230</v>
      </c>
      <c r="Q138" t="s">
        <v>251</v>
      </c>
      <c r="R138" t="s">
        <v>60</v>
      </c>
      <c r="S138" t="str">
        <f t="shared" si="2"/>
        <v>35-44</v>
      </c>
    </row>
    <row r="139" spans="1:19" x14ac:dyDescent="0.3">
      <c r="A139">
        <v>138</v>
      </c>
      <c r="B139" t="s">
        <v>78</v>
      </c>
      <c r="C139" t="s">
        <v>138</v>
      </c>
      <c r="D139" t="s">
        <v>136</v>
      </c>
      <c r="E139" t="s">
        <v>28</v>
      </c>
      <c r="F139">
        <v>56</v>
      </c>
      <c r="G139" t="s">
        <v>198</v>
      </c>
      <c r="H139">
        <v>15</v>
      </c>
      <c r="I139" t="s">
        <v>199</v>
      </c>
      <c r="J139" t="s">
        <v>31</v>
      </c>
      <c r="K139" t="s">
        <v>301</v>
      </c>
      <c r="L139" t="s">
        <v>55</v>
      </c>
      <c r="M139">
        <v>302212</v>
      </c>
      <c r="N139" t="s">
        <v>47</v>
      </c>
      <c r="O139" t="s">
        <v>57</v>
      </c>
      <c r="P139" t="s">
        <v>169</v>
      </c>
      <c r="Q139" t="s">
        <v>240</v>
      </c>
      <c r="R139" t="s">
        <v>38</v>
      </c>
      <c r="S139" t="str">
        <f t="shared" si="2"/>
        <v>55-65</v>
      </c>
    </row>
    <row r="140" spans="1:19" x14ac:dyDescent="0.3">
      <c r="A140">
        <v>139</v>
      </c>
      <c r="B140" t="s">
        <v>269</v>
      </c>
      <c r="C140" t="s">
        <v>167</v>
      </c>
      <c r="D140" t="s">
        <v>273</v>
      </c>
      <c r="E140" t="s">
        <v>51</v>
      </c>
      <c r="F140">
        <v>35</v>
      </c>
      <c r="G140" t="s">
        <v>87</v>
      </c>
      <c r="H140">
        <v>8</v>
      </c>
      <c r="I140" t="s">
        <v>80</v>
      </c>
      <c r="J140" t="s">
        <v>123</v>
      </c>
      <c r="K140" t="s">
        <v>245</v>
      </c>
      <c r="L140" t="s">
        <v>33</v>
      </c>
      <c r="M140">
        <v>53603</v>
      </c>
      <c r="N140" t="s">
        <v>47</v>
      </c>
      <c r="O140" t="s">
        <v>57</v>
      </c>
      <c r="P140" t="s">
        <v>89</v>
      </c>
      <c r="Q140" t="s">
        <v>90</v>
      </c>
      <c r="R140" t="s">
        <v>126</v>
      </c>
      <c r="S140" t="str">
        <f t="shared" si="2"/>
        <v>35-44</v>
      </c>
    </row>
    <row r="141" spans="1:19" x14ac:dyDescent="0.3">
      <c r="A141">
        <v>140</v>
      </c>
      <c r="B141" t="s">
        <v>288</v>
      </c>
      <c r="C141" t="s">
        <v>66</v>
      </c>
      <c r="D141" t="s">
        <v>187</v>
      </c>
      <c r="E141" t="s">
        <v>51</v>
      </c>
      <c r="F141">
        <v>28</v>
      </c>
      <c r="G141" t="s">
        <v>150</v>
      </c>
      <c r="H141">
        <v>24</v>
      </c>
      <c r="I141" t="s">
        <v>122</v>
      </c>
      <c r="J141" t="s">
        <v>53</v>
      </c>
      <c r="K141" t="s">
        <v>280</v>
      </c>
      <c r="L141" t="s">
        <v>55</v>
      </c>
      <c r="M141">
        <v>166051</v>
      </c>
      <c r="N141" t="s">
        <v>96</v>
      </c>
      <c r="O141" t="s">
        <v>35</v>
      </c>
      <c r="P141" t="s">
        <v>89</v>
      </c>
      <c r="Q141" t="s">
        <v>119</v>
      </c>
      <c r="R141" t="s">
        <v>60</v>
      </c>
      <c r="S141" t="str">
        <f t="shared" si="2"/>
        <v>25-34</v>
      </c>
    </row>
    <row r="142" spans="1:19" x14ac:dyDescent="0.3">
      <c r="A142">
        <v>141</v>
      </c>
      <c r="B142" t="s">
        <v>269</v>
      </c>
      <c r="C142" t="s">
        <v>71</v>
      </c>
      <c r="D142" t="s">
        <v>143</v>
      </c>
      <c r="E142" t="s">
        <v>51</v>
      </c>
      <c r="F142">
        <v>21</v>
      </c>
      <c r="G142" t="s">
        <v>29</v>
      </c>
      <c r="H142">
        <v>19</v>
      </c>
      <c r="I142" t="s">
        <v>30</v>
      </c>
      <c r="J142" t="s">
        <v>53</v>
      </c>
      <c r="K142" t="s">
        <v>53</v>
      </c>
      <c r="L142" t="s">
        <v>206</v>
      </c>
      <c r="M142">
        <v>211144</v>
      </c>
      <c r="N142" t="s">
        <v>47</v>
      </c>
      <c r="O142" t="s">
        <v>75</v>
      </c>
      <c r="P142" t="s">
        <v>230</v>
      </c>
      <c r="Q142" t="s">
        <v>251</v>
      </c>
      <c r="R142" t="s">
        <v>60</v>
      </c>
      <c r="S142" t="str">
        <f t="shared" si="2"/>
        <v>18-24</v>
      </c>
    </row>
    <row r="143" spans="1:19" x14ac:dyDescent="0.3">
      <c r="A143">
        <v>142</v>
      </c>
      <c r="B143" t="s">
        <v>302</v>
      </c>
      <c r="C143" t="s">
        <v>131</v>
      </c>
      <c r="D143" t="s">
        <v>154</v>
      </c>
      <c r="E143" t="s">
        <v>28</v>
      </c>
      <c r="F143">
        <v>41</v>
      </c>
      <c r="G143" t="s">
        <v>107</v>
      </c>
      <c r="H143">
        <v>12</v>
      </c>
      <c r="I143" t="s">
        <v>73</v>
      </c>
      <c r="J143" t="s">
        <v>164</v>
      </c>
      <c r="K143" t="s">
        <v>253</v>
      </c>
      <c r="L143" t="s">
        <v>46</v>
      </c>
      <c r="M143">
        <v>22649</v>
      </c>
      <c r="N143" t="s">
        <v>115</v>
      </c>
      <c r="O143" t="s">
        <v>57</v>
      </c>
      <c r="P143" t="s">
        <v>97</v>
      </c>
      <c r="Q143" t="s">
        <v>278</v>
      </c>
      <c r="R143" t="s">
        <v>126</v>
      </c>
      <c r="S143" t="str">
        <f t="shared" si="2"/>
        <v>35-44</v>
      </c>
    </row>
    <row r="144" spans="1:19" x14ac:dyDescent="0.3">
      <c r="A144">
        <v>143</v>
      </c>
      <c r="B144" t="s">
        <v>291</v>
      </c>
      <c r="C144" t="s">
        <v>63</v>
      </c>
      <c r="D144" t="s">
        <v>163</v>
      </c>
      <c r="E144" t="s">
        <v>51</v>
      </c>
      <c r="F144">
        <v>57</v>
      </c>
      <c r="G144" t="s">
        <v>198</v>
      </c>
      <c r="H144">
        <v>25</v>
      </c>
      <c r="I144" t="s">
        <v>43</v>
      </c>
      <c r="J144" t="s">
        <v>94</v>
      </c>
      <c r="K144" t="s">
        <v>190</v>
      </c>
      <c r="L144" t="s">
        <v>33</v>
      </c>
      <c r="M144">
        <v>49389</v>
      </c>
      <c r="N144" t="s">
        <v>96</v>
      </c>
      <c r="O144" t="s">
        <v>57</v>
      </c>
      <c r="P144" t="s">
        <v>217</v>
      </c>
      <c r="Q144" t="s">
        <v>303</v>
      </c>
      <c r="R144" t="s">
        <v>83</v>
      </c>
      <c r="S144" t="str">
        <f t="shared" si="2"/>
        <v>55-65</v>
      </c>
    </row>
    <row r="145" spans="1:19" x14ac:dyDescent="0.3">
      <c r="A145">
        <v>144</v>
      </c>
      <c r="B145" t="s">
        <v>304</v>
      </c>
      <c r="C145" t="s">
        <v>183</v>
      </c>
      <c r="D145" t="s">
        <v>40</v>
      </c>
      <c r="E145" t="s">
        <v>51</v>
      </c>
      <c r="F145">
        <v>20</v>
      </c>
      <c r="G145" t="s">
        <v>42</v>
      </c>
      <c r="H145">
        <v>13</v>
      </c>
      <c r="I145" t="s">
        <v>43</v>
      </c>
      <c r="J145" t="s">
        <v>94</v>
      </c>
      <c r="K145" t="s">
        <v>100</v>
      </c>
      <c r="L145" t="s">
        <v>206</v>
      </c>
      <c r="M145">
        <v>251189</v>
      </c>
      <c r="N145" t="s">
        <v>56</v>
      </c>
      <c r="O145" t="s">
        <v>57</v>
      </c>
      <c r="P145" t="s">
        <v>97</v>
      </c>
      <c r="Q145" t="s">
        <v>180</v>
      </c>
      <c r="R145" t="s">
        <v>38</v>
      </c>
      <c r="S145" t="str">
        <f t="shared" si="2"/>
        <v>18-24</v>
      </c>
    </row>
    <row r="146" spans="1:19" x14ac:dyDescent="0.3">
      <c r="A146">
        <v>145</v>
      </c>
      <c r="B146" t="s">
        <v>148</v>
      </c>
      <c r="C146" t="s">
        <v>211</v>
      </c>
      <c r="D146" t="s">
        <v>187</v>
      </c>
      <c r="E146" t="s">
        <v>28</v>
      </c>
      <c r="F146">
        <v>55</v>
      </c>
      <c r="G146" t="s">
        <v>144</v>
      </c>
      <c r="H146">
        <v>13</v>
      </c>
      <c r="I146" t="s">
        <v>118</v>
      </c>
      <c r="J146" t="s">
        <v>94</v>
      </c>
      <c r="K146" t="s">
        <v>190</v>
      </c>
      <c r="L146" t="s">
        <v>46</v>
      </c>
      <c r="M146">
        <v>290760</v>
      </c>
      <c r="N146" t="s">
        <v>96</v>
      </c>
      <c r="O146" t="s">
        <v>75</v>
      </c>
      <c r="P146" t="s">
        <v>76</v>
      </c>
      <c r="Q146" t="s">
        <v>305</v>
      </c>
      <c r="R146" t="s">
        <v>126</v>
      </c>
      <c r="S146" t="str">
        <f t="shared" si="2"/>
        <v>55-65</v>
      </c>
    </row>
    <row r="147" spans="1:19" x14ac:dyDescent="0.3">
      <c r="A147">
        <v>146</v>
      </c>
      <c r="B147" t="s">
        <v>235</v>
      </c>
      <c r="C147" t="s">
        <v>41</v>
      </c>
      <c r="D147" t="s">
        <v>93</v>
      </c>
      <c r="E147" t="s">
        <v>51</v>
      </c>
      <c r="F147">
        <v>55</v>
      </c>
      <c r="G147" t="s">
        <v>87</v>
      </c>
      <c r="H147">
        <v>22</v>
      </c>
      <c r="I147" t="s">
        <v>140</v>
      </c>
      <c r="J147" t="s">
        <v>113</v>
      </c>
      <c r="K147" t="s">
        <v>239</v>
      </c>
      <c r="L147" t="s">
        <v>55</v>
      </c>
      <c r="M147">
        <v>210934</v>
      </c>
      <c r="N147" t="s">
        <v>56</v>
      </c>
      <c r="O147" t="s">
        <v>75</v>
      </c>
      <c r="P147" t="s">
        <v>230</v>
      </c>
      <c r="Q147" t="s">
        <v>259</v>
      </c>
      <c r="R147" t="s">
        <v>38</v>
      </c>
      <c r="S147" t="str">
        <f t="shared" si="2"/>
        <v>55-65</v>
      </c>
    </row>
    <row r="148" spans="1:19" x14ac:dyDescent="0.3">
      <c r="A148">
        <v>147</v>
      </c>
      <c r="B148" t="s">
        <v>127</v>
      </c>
      <c r="C148" t="s">
        <v>236</v>
      </c>
      <c r="D148" t="s">
        <v>66</v>
      </c>
      <c r="E148" t="s">
        <v>28</v>
      </c>
      <c r="F148">
        <v>42</v>
      </c>
      <c r="G148" t="s">
        <v>42</v>
      </c>
      <c r="H148">
        <v>21</v>
      </c>
      <c r="I148" t="s">
        <v>43</v>
      </c>
      <c r="J148" t="s">
        <v>44</v>
      </c>
      <c r="K148" t="s">
        <v>232</v>
      </c>
      <c r="L148" t="s">
        <v>33</v>
      </c>
      <c r="M148">
        <v>15892</v>
      </c>
      <c r="N148" t="s">
        <v>115</v>
      </c>
      <c r="O148" t="s">
        <v>35</v>
      </c>
      <c r="P148" t="s">
        <v>169</v>
      </c>
      <c r="Q148" t="s">
        <v>207</v>
      </c>
      <c r="R148" t="s">
        <v>103</v>
      </c>
      <c r="S148" t="str">
        <f t="shared" si="2"/>
        <v>35-44</v>
      </c>
    </row>
    <row r="149" spans="1:19" x14ac:dyDescent="0.3">
      <c r="A149">
        <v>148</v>
      </c>
      <c r="B149" t="s">
        <v>247</v>
      </c>
      <c r="C149" t="s">
        <v>50</v>
      </c>
      <c r="D149" t="s">
        <v>136</v>
      </c>
      <c r="E149" t="s">
        <v>51</v>
      </c>
      <c r="F149">
        <v>57</v>
      </c>
      <c r="G149" t="s">
        <v>107</v>
      </c>
      <c r="H149">
        <v>7</v>
      </c>
      <c r="I149" t="s">
        <v>73</v>
      </c>
      <c r="J149" t="s">
        <v>123</v>
      </c>
      <c r="K149" t="s">
        <v>124</v>
      </c>
      <c r="L149" t="s">
        <v>46</v>
      </c>
      <c r="M149">
        <v>248492</v>
      </c>
      <c r="N149" t="s">
        <v>115</v>
      </c>
      <c r="O149" t="s">
        <v>75</v>
      </c>
      <c r="P149" t="s">
        <v>89</v>
      </c>
      <c r="Q149" t="s">
        <v>248</v>
      </c>
      <c r="R149" t="s">
        <v>83</v>
      </c>
      <c r="S149" t="str">
        <f t="shared" si="2"/>
        <v>55-65</v>
      </c>
    </row>
    <row r="150" spans="1:19" x14ac:dyDescent="0.3">
      <c r="A150">
        <v>149</v>
      </c>
      <c r="B150" t="s">
        <v>279</v>
      </c>
      <c r="C150" t="s">
        <v>63</v>
      </c>
      <c r="D150" t="s">
        <v>187</v>
      </c>
      <c r="E150" t="s">
        <v>51</v>
      </c>
      <c r="F150">
        <v>52</v>
      </c>
      <c r="G150" t="s">
        <v>144</v>
      </c>
      <c r="H150">
        <v>15</v>
      </c>
      <c r="I150" t="s">
        <v>118</v>
      </c>
      <c r="J150" t="s">
        <v>94</v>
      </c>
      <c r="K150" t="s">
        <v>306</v>
      </c>
      <c r="L150" t="s">
        <v>67</v>
      </c>
      <c r="M150">
        <v>215476</v>
      </c>
      <c r="N150" t="s">
        <v>115</v>
      </c>
      <c r="O150" t="s">
        <v>57</v>
      </c>
      <c r="P150" t="s">
        <v>76</v>
      </c>
      <c r="Q150" t="s">
        <v>272</v>
      </c>
      <c r="R150" t="s">
        <v>126</v>
      </c>
      <c r="S150" t="str">
        <f t="shared" si="2"/>
        <v>45-54</v>
      </c>
    </row>
    <row r="151" spans="1:19" x14ac:dyDescent="0.3">
      <c r="A151">
        <v>150</v>
      </c>
      <c r="B151" t="s">
        <v>193</v>
      </c>
      <c r="C151" t="s">
        <v>160</v>
      </c>
      <c r="D151" t="s">
        <v>111</v>
      </c>
      <c r="E151" t="s">
        <v>51</v>
      </c>
      <c r="F151">
        <v>63</v>
      </c>
      <c r="G151" t="s">
        <v>79</v>
      </c>
      <c r="H151">
        <v>23</v>
      </c>
      <c r="I151" t="s">
        <v>80</v>
      </c>
      <c r="J151" t="s">
        <v>31</v>
      </c>
      <c r="K151" t="s">
        <v>32</v>
      </c>
      <c r="L151" t="s">
        <v>46</v>
      </c>
      <c r="M151">
        <v>170532</v>
      </c>
      <c r="N151" t="s">
        <v>47</v>
      </c>
      <c r="O151" t="s">
        <v>57</v>
      </c>
      <c r="P151" t="s">
        <v>89</v>
      </c>
      <c r="Q151" t="s">
        <v>155</v>
      </c>
      <c r="R151" t="s">
        <v>60</v>
      </c>
      <c r="S151" t="str">
        <f t="shared" si="2"/>
        <v>55-65</v>
      </c>
    </row>
    <row r="152" spans="1:19" x14ac:dyDescent="0.3">
      <c r="A152">
        <v>151</v>
      </c>
      <c r="B152" t="s">
        <v>196</v>
      </c>
      <c r="C152" t="s">
        <v>178</v>
      </c>
      <c r="D152" t="s">
        <v>111</v>
      </c>
      <c r="E152" t="s">
        <v>51</v>
      </c>
      <c r="F152">
        <v>63</v>
      </c>
      <c r="G152" t="s">
        <v>144</v>
      </c>
      <c r="H152">
        <v>10</v>
      </c>
      <c r="I152" t="s">
        <v>118</v>
      </c>
      <c r="J152" t="s">
        <v>113</v>
      </c>
      <c r="K152" t="s">
        <v>290</v>
      </c>
      <c r="L152" t="s">
        <v>55</v>
      </c>
      <c r="M152">
        <v>323783</v>
      </c>
      <c r="N152" t="s">
        <v>96</v>
      </c>
      <c r="O152" t="s">
        <v>35</v>
      </c>
      <c r="P152" t="s">
        <v>101</v>
      </c>
      <c r="Q152" t="s">
        <v>77</v>
      </c>
      <c r="R152" t="s">
        <v>38</v>
      </c>
      <c r="S152" t="str">
        <f t="shared" si="2"/>
        <v>55-65</v>
      </c>
    </row>
    <row r="153" spans="1:19" x14ac:dyDescent="0.3">
      <c r="A153">
        <v>152</v>
      </c>
      <c r="B153" t="s">
        <v>289</v>
      </c>
      <c r="C153" t="s">
        <v>146</v>
      </c>
      <c r="D153" t="s">
        <v>27</v>
      </c>
      <c r="E153" t="s">
        <v>51</v>
      </c>
      <c r="F153">
        <v>33</v>
      </c>
      <c r="G153" t="s">
        <v>144</v>
      </c>
      <c r="H153">
        <v>4</v>
      </c>
      <c r="I153" t="s">
        <v>118</v>
      </c>
      <c r="J153" t="s">
        <v>94</v>
      </c>
      <c r="K153" t="s">
        <v>133</v>
      </c>
      <c r="L153" t="s">
        <v>46</v>
      </c>
      <c r="M153">
        <v>236093</v>
      </c>
      <c r="N153" t="s">
        <v>115</v>
      </c>
      <c r="O153" t="s">
        <v>75</v>
      </c>
      <c r="P153" t="s">
        <v>68</v>
      </c>
      <c r="Q153" t="s">
        <v>69</v>
      </c>
      <c r="R153" t="s">
        <v>38</v>
      </c>
      <c r="S153" t="str">
        <f t="shared" si="2"/>
        <v>25-34</v>
      </c>
    </row>
    <row r="154" spans="1:19" x14ac:dyDescent="0.3">
      <c r="A154">
        <v>153</v>
      </c>
      <c r="B154" t="s">
        <v>307</v>
      </c>
      <c r="C154" t="s">
        <v>136</v>
      </c>
      <c r="D154" t="s">
        <v>181</v>
      </c>
      <c r="E154" t="s">
        <v>28</v>
      </c>
      <c r="F154">
        <v>18</v>
      </c>
      <c r="G154" t="s">
        <v>107</v>
      </c>
      <c r="H154">
        <v>16</v>
      </c>
      <c r="I154" t="s">
        <v>73</v>
      </c>
      <c r="J154" t="s">
        <v>113</v>
      </c>
      <c r="K154" t="s">
        <v>281</v>
      </c>
      <c r="L154" t="s">
        <v>206</v>
      </c>
      <c r="M154">
        <v>145383</v>
      </c>
      <c r="N154" t="s">
        <v>96</v>
      </c>
      <c r="O154" t="s">
        <v>75</v>
      </c>
      <c r="P154" t="s">
        <v>36</v>
      </c>
      <c r="Q154" t="s">
        <v>161</v>
      </c>
      <c r="R154" t="s">
        <v>38</v>
      </c>
      <c r="S154" t="str">
        <f t="shared" si="2"/>
        <v>18-24</v>
      </c>
    </row>
    <row r="155" spans="1:19" x14ac:dyDescent="0.3">
      <c r="A155">
        <v>154</v>
      </c>
      <c r="B155" t="s">
        <v>203</v>
      </c>
      <c r="C155" t="s">
        <v>260</v>
      </c>
      <c r="D155" t="s">
        <v>215</v>
      </c>
      <c r="E155" t="s">
        <v>51</v>
      </c>
      <c r="F155">
        <v>59</v>
      </c>
      <c r="G155" t="s">
        <v>194</v>
      </c>
      <c r="H155">
        <v>30</v>
      </c>
      <c r="I155" t="s">
        <v>65</v>
      </c>
      <c r="J155" t="s">
        <v>164</v>
      </c>
      <c r="K155" t="s">
        <v>164</v>
      </c>
      <c r="L155" t="s">
        <v>33</v>
      </c>
      <c r="M155">
        <v>189628</v>
      </c>
      <c r="N155" t="s">
        <v>115</v>
      </c>
      <c r="O155" t="s">
        <v>57</v>
      </c>
      <c r="P155" t="s">
        <v>217</v>
      </c>
      <c r="Q155" t="s">
        <v>220</v>
      </c>
      <c r="R155" t="s">
        <v>38</v>
      </c>
      <c r="S155" t="str">
        <f t="shared" si="2"/>
        <v>55-65</v>
      </c>
    </row>
    <row r="156" spans="1:19" x14ac:dyDescent="0.3">
      <c r="A156">
        <v>155</v>
      </c>
      <c r="B156" t="s">
        <v>153</v>
      </c>
      <c r="C156" t="s">
        <v>117</v>
      </c>
      <c r="D156" t="s">
        <v>175</v>
      </c>
      <c r="E156" t="s">
        <v>28</v>
      </c>
      <c r="F156">
        <v>20</v>
      </c>
      <c r="G156" t="s">
        <v>107</v>
      </c>
      <c r="H156">
        <v>31</v>
      </c>
      <c r="I156" t="s">
        <v>132</v>
      </c>
      <c r="J156" t="s">
        <v>164</v>
      </c>
      <c r="K156" t="s">
        <v>284</v>
      </c>
      <c r="L156" t="s">
        <v>33</v>
      </c>
      <c r="M156">
        <v>200947</v>
      </c>
      <c r="N156" t="s">
        <v>47</v>
      </c>
      <c r="O156" t="s">
        <v>57</v>
      </c>
      <c r="P156" t="s">
        <v>97</v>
      </c>
      <c r="Q156" t="s">
        <v>243</v>
      </c>
      <c r="R156" t="s">
        <v>103</v>
      </c>
      <c r="S156" t="str">
        <f t="shared" si="2"/>
        <v>18-24</v>
      </c>
    </row>
    <row r="157" spans="1:19" x14ac:dyDescent="0.3">
      <c r="A157">
        <v>156</v>
      </c>
      <c r="B157" t="s">
        <v>171</v>
      </c>
      <c r="C157" t="s">
        <v>163</v>
      </c>
      <c r="D157" t="s">
        <v>71</v>
      </c>
      <c r="E157" t="s">
        <v>51</v>
      </c>
      <c r="F157">
        <v>39</v>
      </c>
      <c r="G157" t="s">
        <v>79</v>
      </c>
      <c r="H157">
        <v>7</v>
      </c>
      <c r="I157" t="s">
        <v>52</v>
      </c>
      <c r="J157" t="s">
        <v>164</v>
      </c>
      <c r="K157" t="s">
        <v>164</v>
      </c>
      <c r="L157" t="s">
        <v>67</v>
      </c>
      <c r="M157">
        <v>228658</v>
      </c>
      <c r="N157" t="s">
        <v>34</v>
      </c>
      <c r="O157" t="s">
        <v>75</v>
      </c>
      <c r="P157" t="s">
        <v>169</v>
      </c>
      <c r="Q157" t="s">
        <v>265</v>
      </c>
      <c r="R157" t="s">
        <v>83</v>
      </c>
      <c r="S157" t="str">
        <f t="shared" si="2"/>
        <v>35-44</v>
      </c>
    </row>
    <row r="158" spans="1:19" x14ac:dyDescent="0.3">
      <c r="A158">
        <v>157</v>
      </c>
      <c r="B158" t="s">
        <v>282</v>
      </c>
      <c r="C158" t="s">
        <v>189</v>
      </c>
      <c r="D158" t="s">
        <v>142</v>
      </c>
      <c r="E158" t="s">
        <v>51</v>
      </c>
      <c r="F158">
        <v>43</v>
      </c>
      <c r="G158" t="s">
        <v>29</v>
      </c>
      <c r="H158">
        <v>6</v>
      </c>
      <c r="I158" t="s">
        <v>30</v>
      </c>
      <c r="J158" t="s">
        <v>94</v>
      </c>
      <c r="K158" t="s">
        <v>227</v>
      </c>
      <c r="L158" t="s">
        <v>206</v>
      </c>
      <c r="M158">
        <v>118135</v>
      </c>
      <c r="N158" t="s">
        <v>34</v>
      </c>
      <c r="O158" t="s">
        <v>35</v>
      </c>
      <c r="P158" t="s">
        <v>58</v>
      </c>
      <c r="Q158" t="s">
        <v>308</v>
      </c>
      <c r="R158" t="s">
        <v>38</v>
      </c>
      <c r="S158" t="str">
        <f t="shared" si="2"/>
        <v>35-44</v>
      </c>
    </row>
    <row r="159" spans="1:19" x14ac:dyDescent="0.3">
      <c r="A159">
        <v>158</v>
      </c>
      <c r="B159" t="s">
        <v>203</v>
      </c>
      <c r="C159" t="s">
        <v>143</v>
      </c>
      <c r="D159" t="s">
        <v>105</v>
      </c>
      <c r="E159" t="s">
        <v>51</v>
      </c>
      <c r="F159">
        <v>35</v>
      </c>
      <c r="G159" t="s">
        <v>79</v>
      </c>
      <c r="H159">
        <v>13</v>
      </c>
      <c r="I159" t="s">
        <v>52</v>
      </c>
      <c r="J159" t="s">
        <v>31</v>
      </c>
      <c r="K159" t="s">
        <v>195</v>
      </c>
      <c r="L159" t="s">
        <v>46</v>
      </c>
      <c r="M159">
        <v>205949</v>
      </c>
      <c r="N159" t="s">
        <v>34</v>
      </c>
      <c r="O159" t="s">
        <v>57</v>
      </c>
      <c r="P159" t="s">
        <v>76</v>
      </c>
      <c r="Q159" t="s">
        <v>272</v>
      </c>
      <c r="R159" t="s">
        <v>83</v>
      </c>
      <c r="S159" t="str">
        <f t="shared" si="2"/>
        <v>35-44</v>
      </c>
    </row>
    <row r="160" spans="1:19" x14ac:dyDescent="0.3">
      <c r="A160">
        <v>159</v>
      </c>
      <c r="B160" t="s">
        <v>277</v>
      </c>
      <c r="C160" t="s">
        <v>121</v>
      </c>
      <c r="D160" t="s">
        <v>62</v>
      </c>
      <c r="E160" t="s">
        <v>28</v>
      </c>
      <c r="F160">
        <v>61</v>
      </c>
      <c r="G160" t="s">
        <v>198</v>
      </c>
      <c r="H160">
        <v>10</v>
      </c>
      <c r="I160" t="s">
        <v>199</v>
      </c>
      <c r="J160" t="s">
        <v>31</v>
      </c>
      <c r="K160" t="s">
        <v>205</v>
      </c>
      <c r="L160" t="s">
        <v>55</v>
      </c>
      <c r="M160">
        <v>243150</v>
      </c>
      <c r="N160" t="s">
        <v>47</v>
      </c>
      <c r="O160" t="s">
        <v>75</v>
      </c>
      <c r="P160" t="s">
        <v>36</v>
      </c>
      <c r="Q160" t="s">
        <v>234</v>
      </c>
      <c r="R160" t="s">
        <v>38</v>
      </c>
      <c r="S160" t="str">
        <f t="shared" si="2"/>
        <v>55-65</v>
      </c>
    </row>
    <row r="161" spans="1:19" x14ac:dyDescent="0.3">
      <c r="A161">
        <v>160</v>
      </c>
      <c r="B161" t="s">
        <v>296</v>
      </c>
      <c r="C161" t="s">
        <v>236</v>
      </c>
      <c r="D161" t="s">
        <v>50</v>
      </c>
      <c r="E161" t="s">
        <v>28</v>
      </c>
      <c r="F161">
        <v>44</v>
      </c>
      <c r="G161" t="s">
        <v>198</v>
      </c>
      <c r="H161">
        <v>24</v>
      </c>
      <c r="I161" t="s">
        <v>43</v>
      </c>
      <c r="J161" t="s">
        <v>94</v>
      </c>
      <c r="K161" t="s">
        <v>306</v>
      </c>
      <c r="L161" t="s">
        <v>67</v>
      </c>
      <c r="M161">
        <v>266286</v>
      </c>
      <c r="N161" t="s">
        <v>115</v>
      </c>
      <c r="O161" t="s">
        <v>75</v>
      </c>
      <c r="P161" t="s">
        <v>36</v>
      </c>
      <c r="Q161" t="s">
        <v>48</v>
      </c>
      <c r="R161" t="s">
        <v>126</v>
      </c>
      <c r="S161" t="str">
        <f t="shared" si="2"/>
        <v>35-44</v>
      </c>
    </row>
    <row r="162" spans="1:19" x14ac:dyDescent="0.3">
      <c r="A162">
        <v>161</v>
      </c>
      <c r="B162" t="s">
        <v>309</v>
      </c>
      <c r="C162" t="s">
        <v>138</v>
      </c>
      <c r="D162" t="s">
        <v>224</v>
      </c>
      <c r="E162" t="s">
        <v>28</v>
      </c>
      <c r="F162">
        <v>21</v>
      </c>
      <c r="G162" t="s">
        <v>107</v>
      </c>
      <c r="H162">
        <v>12</v>
      </c>
      <c r="I162" t="s">
        <v>73</v>
      </c>
      <c r="J162" t="s">
        <v>113</v>
      </c>
      <c r="K162" t="s">
        <v>168</v>
      </c>
      <c r="L162" t="s">
        <v>46</v>
      </c>
      <c r="M162">
        <v>74744</v>
      </c>
      <c r="N162" t="s">
        <v>115</v>
      </c>
      <c r="O162" t="s">
        <v>35</v>
      </c>
      <c r="P162" t="s">
        <v>36</v>
      </c>
      <c r="Q162" t="s">
        <v>185</v>
      </c>
      <c r="R162" t="s">
        <v>83</v>
      </c>
      <c r="S162" t="str">
        <f t="shared" si="2"/>
        <v>18-24</v>
      </c>
    </row>
    <row r="163" spans="1:19" x14ac:dyDescent="0.3">
      <c r="A163">
        <v>162</v>
      </c>
      <c r="B163" t="s">
        <v>216</v>
      </c>
      <c r="C163" t="s">
        <v>189</v>
      </c>
      <c r="D163" t="s">
        <v>157</v>
      </c>
      <c r="E163" t="s">
        <v>51</v>
      </c>
      <c r="F163">
        <v>50</v>
      </c>
      <c r="G163" t="s">
        <v>107</v>
      </c>
      <c r="H163">
        <v>19</v>
      </c>
      <c r="I163" t="s">
        <v>73</v>
      </c>
      <c r="J163" t="s">
        <v>123</v>
      </c>
      <c r="K163" t="s">
        <v>245</v>
      </c>
      <c r="L163" t="s">
        <v>46</v>
      </c>
      <c r="M163">
        <v>161434</v>
      </c>
      <c r="N163" t="s">
        <v>96</v>
      </c>
      <c r="O163" t="s">
        <v>57</v>
      </c>
      <c r="P163" t="s">
        <v>89</v>
      </c>
      <c r="Q163" t="s">
        <v>248</v>
      </c>
      <c r="R163" t="s">
        <v>126</v>
      </c>
      <c r="S163" t="str">
        <f t="shared" si="2"/>
        <v>45-54</v>
      </c>
    </row>
    <row r="164" spans="1:19" x14ac:dyDescent="0.3">
      <c r="A164">
        <v>163</v>
      </c>
      <c r="B164" t="s">
        <v>159</v>
      </c>
      <c r="C164" t="s">
        <v>71</v>
      </c>
      <c r="D164" t="s">
        <v>189</v>
      </c>
      <c r="E164" t="s">
        <v>28</v>
      </c>
      <c r="F164">
        <v>34</v>
      </c>
      <c r="G164" t="s">
        <v>79</v>
      </c>
      <c r="H164">
        <v>24</v>
      </c>
      <c r="I164" t="s">
        <v>80</v>
      </c>
      <c r="J164" t="s">
        <v>113</v>
      </c>
      <c r="K164" t="s">
        <v>310</v>
      </c>
      <c r="L164" t="s">
        <v>33</v>
      </c>
      <c r="M164">
        <v>204517</v>
      </c>
      <c r="N164" t="s">
        <v>96</v>
      </c>
      <c r="O164" t="s">
        <v>57</v>
      </c>
      <c r="P164" t="s">
        <v>97</v>
      </c>
      <c r="Q164" t="s">
        <v>180</v>
      </c>
      <c r="R164" t="s">
        <v>60</v>
      </c>
      <c r="S164" t="str">
        <f t="shared" si="2"/>
        <v>25-34</v>
      </c>
    </row>
    <row r="165" spans="1:19" x14ac:dyDescent="0.3">
      <c r="A165">
        <v>164</v>
      </c>
      <c r="B165" t="s">
        <v>156</v>
      </c>
      <c r="C165" t="s">
        <v>236</v>
      </c>
      <c r="D165" t="s">
        <v>172</v>
      </c>
      <c r="E165" t="s">
        <v>28</v>
      </c>
      <c r="F165">
        <v>26</v>
      </c>
      <c r="G165" t="s">
        <v>79</v>
      </c>
      <c r="H165">
        <v>14</v>
      </c>
      <c r="I165" t="s">
        <v>52</v>
      </c>
      <c r="J165" t="s">
        <v>31</v>
      </c>
      <c r="K165" t="s">
        <v>311</v>
      </c>
      <c r="L165" t="s">
        <v>206</v>
      </c>
      <c r="M165">
        <v>347536</v>
      </c>
      <c r="N165" t="s">
        <v>96</v>
      </c>
      <c r="O165" t="s">
        <v>57</v>
      </c>
      <c r="P165" t="s">
        <v>58</v>
      </c>
      <c r="Q165" t="s">
        <v>165</v>
      </c>
      <c r="R165" t="s">
        <v>103</v>
      </c>
      <c r="S165" t="str">
        <f t="shared" si="2"/>
        <v>25-34</v>
      </c>
    </row>
    <row r="166" spans="1:19" x14ac:dyDescent="0.3">
      <c r="A166">
        <v>165</v>
      </c>
      <c r="B166" t="s">
        <v>137</v>
      </c>
      <c r="C166" t="s">
        <v>131</v>
      </c>
      <c r="D166" t="s">
        <v>215</v>
      </c>
      <c r="E166" t="s">
        <v>28</v>
      </c>
      <c r="F166">
        <v>43</v>
      </c>
      <c r="G166" t="s">
        <v>87</v>
      </c>
      <c r="H166">
        <v>4</v>
      </c>
      <c r="I166" t="s">
        <v>80</v>
      </c>
      <c r="J166" t="s">
        <v>31</v>
      </c>
      <c r="K166" t="s">
        <v>257</v>
      </c>
      <c r="L166" t="s">
        <v>67</v>
      </c>
      <c r="M166">
        <v>256111</v>
      </c>
      <c r="N166" t="s">
        <v>34</v>
      </c>
      <c r="O166" t="s">
        <v>35</v>
      </c>
      <c r="P166" t="s">
        <v>36</v>
      </c>
      <c r="Q166" t="s">
        <v>161</v>
      </c>
      <c r="R166" t="s">
        <v>83</v>
      </c>
      <c r="S166" t="str">
        <f t="shared" si="2"/>
        <v>35-44</v>
      </c>
    </row>
    <row r="167" spans="1:19" x14ac:dyDescent="0.3">
      <c r="A167">
        <v>166</v>
      </c>
      <c r="B167" t="s">
        <v>61</v>
      </c>
      <c r="C167" t="s">
        <v>221</v>
      </c>
      <c r="D167" t="s">
        <v>110</v>
      </c>
      <c r="E167" t="s">
        <v>51</v>
      </c>
      <c r="F167">
        <v>47</v>
      </c>
      <c r="G167" t="s">
        <v>139</v>
      </c>
      <c r="H167">
        <v>27</v>
      </c>
      <c r="I167" t="s">
        <v>199</v>
      </c>
      <c r="J167" t="s">
        <v>31</v>
      </c>
      <c r="K167" t="s">
        <v>312</v>
      </c>
      <c r="L167" t="s">
        <v>33</v>
      </c>
      <c r="M167">
        <v>100099</v>
      </c>
      <c r="N167" t="s">
        <v>34</v>
      </c>
      <c r="O167" t="s">
        <v>75</v>
      </c>
      <c r="P167" t="s">
        <v>76</v>
      </c>
      <c r="Q167" t="s">
        <v>77</v>
      </c>
      <c r="R167" t="s">
        <v>103</v>
      </c>
      <c r="S167" t="str">
        <f t="shared" si="2"/>
        <v>45-54</v>
      </c>
    </row>
    <row r="168" spans="1:19" x14ac:dyDescent="0.3">
      <c r="A168">
        <v>167</v>
      </c>
      <c r="B168" t="s">
        <v>174</v>
      </c>
      <c r="C168" t="s">
        <v>157</v>
      </c>
      <c r="D168" t="s">
        <v>280</v>
      </c>
      <c r="E168" t="s">
        <v>28</v>
      </c>
      <c r="F168">
        <v>56</v>
      </c>
      <c r="G168" t="s">
        <v>64</v>
      </c>
      <c r="H168">
        <v>20</v>
      </c>
      <c r="I168" t="s">
        <v>118</v>
      </c>
      <c r="J168" t="s">
        <v>113</v>
      </c>
      <c r="K168" t="s">
        <v>313</v>
      </c>
      <c r="L168" t="s">
        <v>206</v>
      </c>
      <c r="M168">
        <v>260487</v>
      </c>
      <c r="N168" t="s">
        <v>96</v>
      </c>
      <c r="O168" t="s">
        <v>35</v>
      </c>
      <c r="P168" t="s">
        <v>97</v>
      </c>
      <c r="Q168" t="s">
        <v>180</v>
      </c>
      <c r="R168" t="s">
        <v>126</v>
      </c>
      <c r="S168" t="str">
        <f t="shared" si="2"/>
        <v>55-65</v>
      </c>
    </row>
    <row r="169" spans="1:19" x14ac:dyDescent="0.3">
      <c r="A169">
        <v>168</v>
      </c>
      <c r="B169" t="s">
        <v>277</v>
      </c>
      <c r="C169" t="s">
        <v>131</v>
      </c>
      <c r="D169" t="s">
        <v>163</v>
      </c>
      <c r="E169" t="s">
        <v>28</v>
      </c>
      <c r="F169">
        <v>54</v>
      </c>
      <c r="G169" t="s">
        <v>79</v>
      </c>
      <c r="H169">
        <v>8</v>
      </c>
      <c r="I169" t="s">
        <v>52</v>
      </c>
      <c r="J169" t="s">
        <v>164</v>
      </c>
      <c r="K169" t="s">
        <v>270</v>
      </c>
      <c r="L169" t="s">
        <v>55</v>
      </c>
      <c r="M169">
        <v>211282</v>
      </c>
      <c r="N169" t="s">
        <v>115</v>
      </c>
      <c r="O169" t="s">
        <v>57</v>
      </c>
      <c r="P169" t="s">
        <v>76</v>
      </c>
      <c r="Q169" t="s">
        <v>305</v>
      </c>
      <c r="R169" t="s">
        <v>38</v>
      </c>
      <c r="S169" t="str">
        <f t="shared" si="2"/>
        <v>45-54</v>
      </c>
    </row>
    <row r="170" spans="1:19" x14ac:dyDescent="0.3">
      <c r="A170">
        <v>169</v>
      </c>
      <c r="B170" t="s">
        <v>314</v>
      </c>
      <c r="C170" t="s">
        <v>160</v>
      </c>
      <c r="D170" t="s">
        <v>27</v>
      </c>
      <c r="E170" t="s">
        <v>28</v>
      </c>
      <c r="F170">
        <v>58</v>
      </c>
      <c r="G170" t="s">
        <v>194</v>
      </c>
      <c r="H170">
        <v>18</v>
      </c>
      <c r="I170" t="s">
        <v>132</v>
      </c>
      <c r="J170" t="s">
        <v>94</v>
      </c>
      <c r="K170" t="s">
        <v>108</v>
      </c>
      <c r="L170" t="s">
        <v>55</v>
      </c>
      <c r="M170">
        <v>175989</v>
      </c>
      <c r="N170" t="s">
        <v>96</v>
      </c>
      <c r="O170" t="s">
        <v>75</v>
      </c>
      <c r="P170" t="s">
        <v>58</v>
      </c>
      <c r="Q170" t="s">
        <v>308</v>
      </c>
      <c r="R170" t="s">
        <v>83</v>
      </c>
      <c r="S170" t="str">
        <f t="shared" si="2"/>
        <v>55-65</v>
      </c>
    </row>
    <row r="171" spans="1:19" x14ac:dyDescent="0.3">
      <c r="A171">
        <v>170</v>
      </c>
      <c r="B171" t="s">
        <v>247</v>
      </c>
      <c r="C171" t="s">
        <v>50</v>
      </c>
      <c r="D171" t="s">
        <v>160</v>
      </c>
      <c r="E171" t="s">
        <v>51</v>
      </c>
      <c r="F171">
        <v>48</v>
      </c>
      <c r="G171" t="s">
        <v>139</v>
      </c>
      <c r="H171">
        <v>6</v>
      </c>
      <c r="I171" t="s">
        <v>140</v>
      </c>
      <c r="J171" t="s">
        <v>164</v>
      </c>
      <c r="K171" t="s">
        <v>209</v>
      </c>
      <c r="L171" t="s">
        <v>67</v>
      </c>
      <c r="M171">
        <v>108754</v>
      </c>
      <c r="N171" t="s">
        <v>96</v>
      </c>
      <c r="O171" t="s">
        <v>35</v>
      </c>
      <c r="P171" t="s">
        <v>68</v>
      </c>
      <c r="Q171" t="s">
        <v>173</v>
      </c>
      <c r="R171" t="s">
        <v>126</v>
      </c>
      <c r="S171" t="str">
        <f t="shared" si="2"/>
        <v>45-54</v>
      </c>
    </row>
    <row r="172" spans="1:19" x14ac:dyDescent="0.3">
      <c r="A172">
        <v>171</v>
      </c>
      <c r="B172" t="s">
        <v>247</v>
      </c>
      <c r="C172" t="s">
        <v>167</v>
      </c>
      <c r="D172" t="s">
        <v>224</v>
      </c>
      <c r="E172" t="s">
        <v>51</v>
      </c>
      <c r="F172">
        <v>31</v>
      </c>
      <c r="G172" t="s">
        <v>144</v>
      </c>
      <c r="H172">
        <v>13</v>
      </c>
      <c r="I172" t="s">
        <v>118</v>
      </c>
      <c r="J172" t="s">
        <v>31</v>
      </c>
      <c r="K172" t="s">
        <v>276</v>
      </c>
      <c r="L172" t="s">
        <v>55</v>
      </c>
      <c r="M172">
        <v>323168</v>
      </c>
      <c r="N172" t="s">
        <v>34</v>
      </c>
      <c r="O172" t="s">
        <v>75</v>
      </c>
      <c r="P172" t="s">
        <v>76</v>
      </c>
      <c r="Q172" t="s">
        <v>82</v>
      </c>
      <c r="R172" t="s">
        <v>38</v>
      </c>
      <c r="S172" t="str">
        <f t="shared" si="2"/>
        <v>25-34</v>
      </c>
    </row>
    <row r="173" spans="1:19" x14ac:dyDescent="0.3">
      <c r="A173">
        <v>172</v>
      </c>
      <c r="B173" t="s">
        <v>226</v>
      </c>
      <c r="C173" t="s">
        <v>63</v>
      </c>
      <c r="D173" t="s">
        <v>189</v>
      </c>
      <c r="E173" t="s">
        <v>28</v>
      </c>
      <c r="F173">
        <v>30</v>
      </c>
      <c r="G173" t="s">
        <v>150</v>
      </c>
      <c r="H173">
        <v>20</v>
      </c>
      <c r="I173" t="s">
        <v>112</v>
      </c>
      <c r="J173" t="s">
        <v>113</v>
      </c>
      <c r="K173" t="s">
        <v>315</v>
      </c>
      <c r="L173" t="s">
        <v>67</v>
      </c>
      <c r="M173">
        <v>79871</v>
      </c>
      <c r="N173" t="s">
        <v>47</v>
      </c>
      <c r="O173" t="s">
        <v>57</v>
      </c>
      <c r="P173" t="s">
        <v>217</v>
      </c>
      <c r="Q173" t="s">
        <v>218</v>
      </c>
      <c r="R173" t="s">
        <v>60</v>
      </c>
      <c r="S173" t="str">
        <f t="shared" si="2"/>
        <v>25-34</v>
      </c>
    </row>
    <row r="174" spans="1:19" x14ac:dyDescent="0.3">
      <c r="A174">
        <v>173</v>
      </c>
      <c r="B174" t="s">
        <v>177</v>
      </c>
      <c r="C174" t="s">
        <v>26</v>
      </c>
      <c r="D174" t="s">
        <v>62</v>
      </c>
      <c r="E174" t="s">
        <v>28</v>
      </c>
      <c r="F174">
        <v>62</v>
      </c>
      <c r="G174" t="s">
        <v>107</v>
      </c>
      <c r="H174">
        <v>25</v>
      </c>
      <c r="I174" t="s">
        <v>132</v>
      </c>
      <c r="J174" t="s">
        <v>123</v>
      </c>
      <c r="K174" t="s">
        <v>286</v>
      </c>
      <c r="L174" t="s">
        <v>67</v>
      </c>
      <c r="M174">
        <v>141838</v>
      </c>
      <c r="N174" t="s">
        <v>56</v>
      </c>
      <c r="O174" t="s">
        <v>57</v>
      </c>
      <c r="P174" t="s">
        <v>217</v>
      </c>
      <c r="Q174" t="s">
        <v>220</v>
      </c>
      <c r="R174" t="s">
        <v>83</v>
      </c>
      <c r="S174" t="str">
        <f t="shared" si="2"/>
        <v>55-65</v>
      </c>
    </row>
    <row r="175" spans="1:19" x14ac:dyDescent="0.3">
      <c r="A175">
        <v>174</v>
      </c>
      <c r="B175" t="s">
        <v>191</v>
      </c>
      <c r="C175" t="s">
        <v>110</v>
      </c>
      <c r="D175" t="s">
        <v>215</v>
      </c>
      <c r="E175" t="s">
        <v>51</v>
      </c>
      <c r="F175">
        <v>50</v>
      </c>
      <c r="G175" t="s">
        <v>87</v>
      </c>
      <c r="H175">
        <v>10</v>
      </c>
      <c r="I175" t="s">
        <v>80</v>
      </c>
      <c r="J175" t="s">
        <v>53</v>
      </c>
      <c r="K175" t="s">
        <v>66</v>
      </c>
      <c r="L175" t="s">
        <v>206</v>
      </c>
      <c r="M175">
        <v>39020</v>
      </c>
      <c r="N175" t="s">
        <v>47</v>
      </c>
      <c r="O175" t="s">
        <v>35</v>
      </c>
      <c r="P175" t="s">
        <v>89</v>
      </c>
      <c r="Q175" t="s">
        <v>225</v>
      </c>
      <c r="R175" t="s">
        <v>83</v>
      </c>
      <c r="S175" t="str">
        <f t="shared" si="2"/>
        <v>45-54</v>
      </c>
    </row>
    <row r="176" spans="1:19" x14ac:dyDescent="0.3">
      <c r="A176">
        <v>175</v>
      </c>
      <c r="B176" t="s">
        <v>247</v>
      </c>
      <c r="C176" t="s">
        <v>172</v>
      </c>
      <c r="D176" t="s">
        <v>85</v>
      </c>
      <c r="E176" t="s">
        <v>51</v>
      </c>
      <c r="F176">
        <v>34</v>
      </c>
      <c r="G176" t="s">
        <v>29</v>
      </c>
      <c r="H176">
        <v>24</v>
      </c>
      <c r="I176" t="s">
        <v>52</v>
      </c>
      <c r="J176" t="s">
        <v>31</v>
      </c>
      <c r="K176" t="s">
        <v>31</v>
      </c>
      <c r="L176" t="s">
        <v>206</v>
      </c>
      <c r="M176">
        <v>204804</v>
      </c>
      <c r="N176" t="s">
        <v>47</v>
      </c>
      <c r="O176" t="s">
        <v>35</v>
      </c>
      <c r="P176" t="s">
        <v>36</v>
      </c>
      <c r="Q176" t="s">
        <v>185</v>
      </c>
      <c r="R176" t="s">
        <v>38</v>
      </c>
      <c r="S176" t="str">
        <f t="shared" si="2"/>
        <v>25-34</v>
      </c>
    </row>
    <row r="177" spans="1:19" x14ac:dyDescent="0.3">
      <c r="A177">
        <v>176</v>
      </c>
      <c r="B177" t="s">
        <v>193</v>
      </c>
      <c r="C177" t="s">
        <v>63</v>
      </c>
      <c r="D177" t="s">
        <v>85</v>
      </c>
      <c r="E177" t="s">
        <v>51</v>
      </c>
      <c r="F177">
        <v>61</v>
      </c>
      <c r="G177" t="s">
        <v>29</v>
      </c>
      <c r="H177">
        <v>16</v>
      </c>
      <c r="I177" t="s">
        <v>30</v>
      </c>
      <c r="J177" t="s">
        <v>94</v>
      </c>
      <c r="K177" t="s">
        <v>227</v>
      </c>
      <c r="L177" t="s">
        <v>206</v>
      </c>
      <c r="M177">
        <v>268359</v>
      </c>
      <c r="N177" t="s">
        <v>96</v>
      </c>
      <c r="O177" t="s">
        <v>57</v>
      </c>
      <c r="P177" t="s">
        <v>76</v>
      </c>
      <c r="Q177" t="s">
        <v>272</v>
      </c>
      <c r="R177" t="s">
        <v>38</v>
      </c>
      <c r="S177" t="str">
        <f t="shared" si="2"/>
        <v>55-65</v>
      </c>
    </row>
    <row r="178" spans="1:19" x14ac:dyDescent="0.3">
      <c r="A178">
        <v>177</v>
      </c>
      <c r="B178" t="s">
        <v>109</v>
      </c>
      <c r="C178" t="s">
        <v>131</v>
      </c>
      <c r="D178" t="s">
        <v>106</v>
      </c>
      <c r="E178" t="s">
        <v>51</v>
      </c>
      <c r="F178">
        <v>52</v>
      </c>
      <c r="G178" t="s">
        <v>42</v>
      </c>
      <c r="H178">
        <v>16</v>
      </c>
      <c r="I178" t="s">
        <v>43</v>
      </c>
      <c r="J178" t="s">
        <v>31</v>
      </c>
      <c r="K178" t="s">
        <v>158</v>
      </c>
      <c r="L178" t="s">
        <v>33</v>
      </c>
      <c r="M178">
        <v>16669</v>
      </c>
      <c r="N178" t="s">
        <v>34</v>
      </c>
      <c r="O178" t="s">
        <v>35</v>
      </c>
      <c r="P178" t="s">
        <v>97</v>
      </c>
      <c r="Q178" t="s">
        <v>152</v>
      </c>
      <c r="R178" t="s">
        <v>103</v>
      </c>
      <c r="S178" t="str">
        <f t="shared" si="2"/>
        <v>45-54</v>
      </c>
    </row>
    <row r="179" spans="1:19" x14ac:dyDescent="0.3">
      <c r="A179">
        <v>178</v>
      </c>
      <c r="B179" t="s">
        <v>316</v>
      </c>
      <c r="C179" t="s">
        <v>280</v>
      </c>
      <c r="D179" t="s">
        <v>86</v>
      </c>
      <c r="E179" t="s">
        <v>28</v>
      </c>
      <c r="F179">
        <v>47</v>
      </c>
      <c r="G179" t="s">
        <v>144</v>
      </c>
      <c r="H179">
        <v>1</v>
      </c>
      <c r="I179" t="s">
        <v>118</v>
      </c>
      <c r="J179" t="s">
        <v>31</v>
      </c>
      <c r="K179" t="s">
        <v>257</v>
      </c>
      <c r="L179" t="s">
        <v>46</v>
      </c>
      <c r="M179">
        <v>218153</v>
      </c>
      <c r="N179" t="s">
        <v>96</v>
      </c>
      <c r="O179" t="s">
        <v>75</v>
      </c>
      <c r="P179" t="s">
        <v>76</v>
      </c>
      <c r="Q179" t="s">
        <v>82</v>
      </c>
      <c r="R179" t="s">
        <v>103</v>
      </c>
      <c r="S179" t="str">
        <f t="shared" si="2"/>
        <v>45-54</v>
      </c>
    </row>
    <row r="180" spans="1:19" x14ac:dyDescent="0.3">
      <c r="A180">
        <v>179</v>
      </c>
      <c r="B180" t="s">
        <v>317</v>
      </c>
      <c r="C180" t="s">
        <v>110</v>
      </c>
      <c r="D180" t="s">
        <v>167</v>
      </c>
      <c r="E180" t="s">
        <v>28</v>
      </c>
      <c r="F180">
        <v>52</v>
      </c>
      <c r="G180" t="s">
        <v>139</v>
      </c>
      <c r="H180">
        <v>1</v>
      </c>
      <c r="I180" t="s">
        <v>140</v>
      </c>
      <c r="J180" t="s">
        <v>113</v>
      </c>
      <c r="K180" t="s">
        <v>237</v>
      </c>
      <c r="L180" t="s">
        <v>206</v>
      </c>
      <c r="M180">
        <v>178265</v>
      </c>
      <c r="N180" t="s">
        <v>115</v>
      </c>
      <c r="O180" t="s">
        <v>35</v>
      </c>
      <c r="P180" t="s">
        <v>230</v>
      </c>
      <c r="Q180" t="s">
        <v>259</v>
      </c>
      <c r="R180" t="s">
        <v>60</v>
      </c>
      <c r="S180" t="str">
        <f t="shared" si="2"/>
        <v>45-54</v>
      </c>
    </row>
    <row r="181" spans="1:19" x14ac:dyDescent="0.3">
      <c r="A181">
        <v>180</v>
      </c>
      <c r="B181" t="s">
        <v>174</v>
      </c>
      <c r="C181" t="s">
        <v>183</v>
      </c>
      <c r="D181" t="s">
        <v>211</v>
      </c>
      <c r="E181" t="s">
        <v>28</v>
      </c>
      <c r="F181">
        <v>35</v>
      </c>
      <c r="G181" t="s">
        <v>42</v>
      </c>
      <c r="H181">
        <v>9</v>
      </c>
      <c r="I181" t="s">
        <v>43</v>
      </c>
      <c r="J181" t="s">
        <v>164</v>
      </c>
      <c r="K181" t="s">
        <v>284</v>
      </c>
      <c r="L181" t="s">
        <v>206</v>
      </c>
      <c r="M181">
        <v>133703</v>
      </c>
      <c r="N181" t="s">
        <v>96</v>
      </c>
      <c r="O181" t="s">
        <v>75</v>
      </c>
      <c r="P181" t="s">
        <v>58</v>
      </c>
      <c r="Q181" t="s">
        <v>59</v>
      </c>
      <c r="R181" t="s">
        <v>38</v>
      </c>
      <c r="S181" t="str">
        <f t="shared" si="2"/>
        <v>35-44</v>
      </c>
    </row>
    <row r="182" spans="1:19" x14ac:dyDescent="0.3">
      <c r="A182">
        <v>181</v>
      </c>
      <c r="B182" t="s">
        <v>120</v>
      </c>
      <c r="C182" t="s">
        <v>189</v>
      </c>
      <c r="D182" t="s">
        <v>204</v>
      </c>
      <c r="E182" t="s">
        <v>28</v>
      </c>
      <c r="F182">
        <v>23</v>
      </c>
      <c r="G182" t="s">
        <v>72</v>
      </c>
      <c r="H182">
        <v>28</v>
      </c>
      <c r="I182" t="s">
        <v>73</v>
      </c>
      <c r="J182" t="s">
        <v>44</v>
      </c>
      <c r="K182" t="s">
        <v>44</v>
      </c>
      <c r="L182" t="s">
        <v>206</v>
      </c>
      <c r="M182">
        <v>135124</v>
      </c>
      <c r="N182" t="s">
        <v>34</v>
      </c>
      <c r="O182" t="s">
        <v>75</v>
      </c>
      <c r="P182" t="s">
        <v>58</v>
      </c>
      <c r="Q182" t="s">
        <v>222</v>
      </c>
      <c r="R182" t="s">
        <v>60</v>
      </c>
      <c r="S182" t="str">
        <f t="shared" si="2"/>
        <v>18-24</v>
      </c>
    </row>
    <row r="183" spans="1:19" x14ac:dyDescent="0.3">
      <c r="A183">
        <v>182</v>
      </c>
      <c r="B183" t="s">
        <v>116</v>
      </c>
      <c r="C183" t="s">
        <v>117</v>
      </c>
      <c r="D183" t="s">
        <v>221</v>
      </c>
      <c r="E183" t="s">
        <v>28</v>
      </c>
      <c r="F183">
        <v>51</v>
      </c>
      <c r="G183" t="s">
        <v>72</v>
      </c>
      <c r="H183">
        <v>26</v>
      </c>
      <c r="I183" t="s">
        <v>73</v>
      </c>
      <c r="J183" t="s">
        <v>53</v>
      </c>
      <c r="K183" t="s">
        <v>54</v>
      </c>
      <c r="L183" t="s">
        <v>46</v>
      </c>
      <c r="M183">
        <v>77939</v>
      </c>
      <c r="N183" t="s">
        <v>96</v>
      </c>
      <c r="O183" t="s">
        <v>57</v>
      </c>
      <c r="P183" t="s">
        <v>97</v>
      </c>
      <c r="Q183" t="s">
        <v>180</v>
      </c>
      <c r="R183" t="s">
        <v>60</v>
      </c>
      <c r="S183" t="str">
        <f t="shared" si="2"/>
        <v>45-54</v>
      </c>
    </row>
    <row r="184" spans="1:19" x14ac:dyDescent="0.3">
      <c r="A184">
        <v>183</v>
      </c>
      <c r="B184" t="s">
        <v>226</v>
      </c>
      <c r="C184" t="s">
        <v>110</v>
      </c>
      <c r="D184" t="s">
        <v>85</v>
      </c>
      <c r="E184" t="s">
        <v>28</v>
      </c>
      <c r="F184">
        <v>38</v>
      </c>
      <c r="G184" t="s">
        <v>72</v>
      </c>
      <c r="H184">
        <v>2</v>
      </c>
      <c r="I184" t="s">
        <v>122</v>
      </c>
      <c r="J184" t="s">
        <v>31</v>
      </c>
      <c r="K184" t="s">
        <v>158</v>
      </c>
      <c r="L184" t="s">
        <v>206</v>
      </c>
      <c r="M184">
        <v>207527</v>
      </c>
      <c r="N184" t="s">
        <v>34</v>
      </c>
      <c r="O184" t="s">
        <v>57</v>
      </c>
      <c r="P184" t="s">
        <v>97</v>
      </c>
      <c r="Q184" t="s">
        <v>180</v>
      </c>
      <c r="R184" t="s">
        <v>38</v>
      </c>
      <c r="S184" t="str">
        <f t="shared" si="2"/>
        <v>35-44</v>
      </c>
    </row>
    <row r="185" spans="1:19" x14ac:dyDescent="0.3">
      <c r="A185">
        <v>184</v>
      </c>
      <c r="B185" t="s">
        <v>297</v>
      </c>
      <c r="C185" t="s">
        <v>63</v>
      </c>
      <c r="D185" t="s">
        <v>189</v>
      </c>
      <c r="E185" t="s">
        <v>28</v>
      </c>
      <c r="F185">
        <v>62</v>
      </c>
      <c r="G185" t="s">
        <v>42</v>
      </c>
      <c r="H185">
        <v>11</v>
      </c>
      <c r="I185" t="s">
        <v>43</v>
      </c>
      <c r="J185" t="s">
        <v>123</v>
      </c>
      <c r="K185" t="s">
        <v>261</v>
      </c>
      <c r="L185" t="s">
        <v>55</v>
      </c>
      <c r="M185">
        <v>262183</v>
      </c>
      <c r="N185" t="s">
        <v>34</v>
      </c>
      <c r="O185" t="s">
        <v>35</v>
      </c>
      <c r="P185" t="s">
        <v>101</v>
      </c>
      <c r="Q185" t="s">
        <v>102</v>
      </c>
      <c r="R185" t="s">
        <v>103</v>
      </c>
      <c r="S185" t="str">
        <f t="shared" si="2"/>
        <v>55-65</v>
      </c>
    </row>
    <row r="186" spans="1:19" x14ac:dyDescent="0.3">
      <c r="A186">
        <v>185</v>
      </c>
      <c r="B186" t="s">
        <v>156</v>
      </c>
      <c r="C186" t="s">
        <v>181</v>
      </c>
      <c r="D186" t="s">
        <v>40</v>
      </c>
      <c r="E186" t="s">
        <v>28</v>
      </c>
      <c r="F186">
        <v>38</v>
      </c>
      <c r="G186" t="s">
        <v>150</v>
      </c>
      <c r="H186">
        <v>31</v>
      </c>
      <c r="I186" t="s">
        <v>122</v>
      </c>
      <c r="J186" t="s">
        <v>94</v>
      </c>
      <c r="K186" t="s">
        <v>271</v>
      </c>
      <c r="L186" t="s">
        <v>206</v>
      </c>
      <c r="M186">
        <v>275324</v>
      </c>
      <c r="N186" t="s">
        <v>96</v>
      </c>
      <c r="O186" t="s">
        <v>35</v>
      </c>
      <c r="P186" t="s">
        <v>97</v>
      </c>
      <c r="Q186" t="s">
        <v>243</v>
      </c>
      <c r="R186" t="s">
        <v>83</v>
      </c>
      <c r="S186" t="str">
        <f t="shared" si="2"/>
        <v>35-44</v>
      </c>
    </row>
    <row r="187" spans="1:19" x14ac:dyDescent="0.3">
      <c r="A187">
        <v>186</v>
      </c>
      <c r="B187" t="s">
        <v>135</v>
      </c>
      <c r="C187" t="s">
        <v>175</v>
      </c>
      <c r="D187" t="s">
        <v>189</v>
      </c>
      <c r="E187" t="s">
        <v>51</v>
      </c>
      <c r="F187">
        <v>57</v>
      </c>
      <c r="G187" t="s">
        <v>150</v>
      </c>
      <c r="H187">
        <v>22</v>
      </c>
      <c r="I187" t="s">
        <v>112</v>
      </c>
      <c r="J187" t="s">
        <v>123</v>
      </c>
      <c r="K187" t="s">
        <v>245</v>
      </c>
      <c r="L187" t="s">
        <v>33</v>
      </c>
      <c r="M187">
        <v>251022</v>
      </c>
      <c r="N187" t="s">
        <v>47</v>
      </c>
      <c r="O187" t="s">
        <v>35</v>
      </c>
      <c r="P187" t="s">
        <v>230</v>
      </c>
      <c r="Q187" t="s">
        <v>298</v>
      </c>
      <c r="R187" t="s">
        <v>103</v>
      </c>
      <c r="S187" t="str">
        <f t="shared" si="2"/>
        <v>55-65</v>
      </c>
    </row>
    <row r="188" spans="1:19" x14ac:dyDescent="0.3">
      <c r="A188">
        <v>187</v>
      </c>
      <c r="B188" t="s">
        <v>70</v>
      </c>
      <c r="C188" t="s">
        <v>187</v>
      </c>
      <c r="D188" t="s">
        <v>93</v>
      </c>
      <c r="E188" t="s">
        <v>28</v>
      </c>
      <c r="F188">
        <v>46</v>
      </c>
      <c r="G188" t="s">
        <v>64</v>
      </c>
      <c r="H188">
        <v>3</v>
      </c>
      <c r="I188" t="s">
        <v>65</v>
      </c>
      <c r="J188" t="s">
        <v>113</v>
      </c>
      <c r="K188" t="s">
        <v>290</v>
      </c>
      <c r="L188" t="s">
        <v>33</v>
      </c>
      <c r="M188">
        <v>40270</v>
      </c>
      <c r="N188" t="s">
        <v>115</v>
      </c>
      <c r="O188" t="s">
        <v>57</v>
      </c>
      <c r="P188" t="s">
        <v>76</v>
      </c>
      <c r="Q188" t="s">
        <v>272</v>
      </c>
      <c r="R188" t="s">
        <v>103</v>
      </c>
      <c r="S188" t="str">
        <f t="shared" si="2"/>
        <v>45-54</v>
      </c>
    </row>
    <row r="189" spans="1:19" x14ac:dyDescent="0.3">
      <c r="A189">
        <v>188</v>
      </c>
      <c r="B189" t="s">
        <v>266</v>
      </c>
      <c r="C189" t="s">
        <v>41</v>
      </c>
      <c r="D189" t="s">
        <v>204</v>
      </c>
      <c r="E189" t="s">
        <v>51</v>
      </c>
      <c r="F189">
        <v>42</v>
      </c>
      <c r="G189" t="s">
        <v>87</v>
      </c>
      <c r="H189">
        <v>18</v>
      </c>
      <c r="I189" t="s">
        <v>80</v>
      </c>
      <c r="J189" t="s">
        <v>113</v>
      </c>
      <c r="K189" t="s">
        <v>114</v>
      </c>
      <c r="L189" t="s">
        <v>33</v>
      </c>
      <c r="M189">
        <v>147764</v>
      </c>
      <c r="N189" t="s">
        <v>56</v>
      </c>
      <c r="O189" t="s">
        <v>35</v>
      </c>
      <c r="P189" t="s">
        <v>97</v>
      </c>
      <c r="Q189" t="s">
        <v>243</v>
      </c>
      <c r="R189" t="s">
        <v>126</v>
      </c>
      <c r="S189" t="str">
        <f t="shared" si="2"/>
        <v>35-44</v>
      </c>
    </row>
    <row r="190" spans="1:19" x14ac:dyDescent="0.3">
      <c r="A190">
        <v>189</v>
      </c>
      <c r="B190" t="s">
        <v>70</v>
      </c>
      <c r="C190" t="s">
        <v>66</v>
      </c>
      <c r="D190" t="s">
        <v>131</v>
      </c>
      <c r="E190" t="s">
        <v>28</v>
      </c>
      <c r="F190">
        <v>27</v>
      </c>
      <c r="G190" t="s">
        <v>79</v>
      </c>
      <c r="H190">
        <v>10</v>
      </c>
      <c r="I190" t="s">
        <v>52</v>
      </c>
      <c r="J190" t="s">
        <v>53</v>
      </c>
      <c r="K190" t="s">
        <v>141</v>
      </c>
      <c r="L190" t="s">
        <v>206</v>
      </c>
      <c r="M190">
        <v>154963</v>
      </c>
      <c r="N190" t="s">
        <v>47</v>
      </c>
      <c r="O190" t="s">
        <v>57</v>
      </c>
      <c r="P190" t="s">
        <v>101</v>
      </c>
      <c r="Q190" t="s">
        <v>125</v>
      </c>
      <c r="R190" t="s">
        <v>60</v>
      </c>
      <c r="S190" t="str">
        <f t="shared" si="2"/>
        <v>25-34</v>
      </c>
    </row>
    <row r="191" spans="1:19" x14ac:dyDescent="0.3">
      <c r="A191">
        <v>190</v>
      </c>
      <c r="B191" t="s">
        <v>228</v>
      </c>
      <c r="C191" t="s">
        <v>143</v>
      </c>
      <c r="D191" t="s">
        <v>106</v>
      </c>
      <c r="E191" t="s">
        <v>51</v>
      </c>
      <c r="F191">
        <v>30</v>
      </c>
      <c r="G191" t="s">
        <v>72</v>
      </c>
      <c r="H191">
        <v>16</v>
      </c>
      <c r="I191" t="s">
        <v>122</v>
      </c>
      <c r="J191" t="s">
        <v>94</v>
      </c>
      <c r="K191" t="s">
        <v>133</v>
      </c>
      <c r="L191" t="s">
        <v>33</v>
      </c>
      <c r="M191">
        <v>51744</v>
      </c>
      <c r="N191" t="s">
        <v>96</v>
      </c>
      <c r="O191" t="s">
        <v>57</v>
      </c>
      <c r="P191" t="s">
        <v>89</v>
      </c>
      <c r="Q191" t="s">
        <v>248</v>
      </c>
      <c r="R191" t="s">
        <v>126</v>
      </c>
      <c r="S191" t="str">
        <f t="shared" si="2"/>
        <v>25-34</v>
      </c>
    </row>
    <row r="192" spans="1:19" x14ac:dyDescent="0.3">
      <c r="A192">
        <v>191</v>
      </c>
      <c r="B192" t="s">
        <v>49</v>
      </c>
      <c r="C192" t="s">
        <v>138</v>
      </c>
      <c r="D192" t="s">
        <v>181</v>
      </c>
      <c r="E192" t="s">
        <v>51</v>
      </c>
      <c r="F192">
        <v>56</v>
      </c>
      <c r="G192" t="s">
        <v>139</v>
      </c>
      <c r="H192">
        <v>27</v>
      </c>
      <c r="I192" t="s">
        <v>199</v>
      </c>
      <c r="J192" t="s">
        <v>164</v>
      </c>
      <c r="K192" t="s">
        <v>270</v>
      </c>
      <c r="L192" t="s">
        <v>67</v>
      </c>
      <c r="M192">
        <v>115629</v>
      </c>
      <c r="N192" t="s">
        <v>96</v>
      </c>
      <c r="O192" t="s">
        <v>57</v>
      </c>
      <c r="P192" t="s">
        <v>169</v>
      </c>
      <c r="Q192" t="s">
        <v>240</v>
      </c>
      <c r="R192" t="s">
        <v>38</v>
      </c>
      <c r="S192" t="str">
        <f t="shared" si="2"/>
        <v>55-65</v>
      </c>
    </row>
    <row r="193" spans="1:19" x14ac:dyDescent="0.3">
      <c r="A193">
        <v>192</v>
      </c>
      <c r="B193" t="s">
        <v>203</v>
      </c>
      <c r="C193" t="s">
        <v>260</v>
      </c>
      <c r="D193" t="s">
        <v>26</v>
      </c>
      <c r="E193" t="s">
        <v>51</v>
      </c>
      <c r="F193">
        <v>33</v>
      </c>
      <c r="G193" t="s">
        <v>107</v>
      </c>
      <c r="H193">
        <v>21</v>
      </c>
      <c r="I193" t="s">
        <v>73</v>
      </c>
      <c r="J193" t="s">
        <v>123</v>
      </c>
      <c r="K193" t="s">
        <v>212</v>
      </c>
      <c r="L193" t="s">
        <v>206</v>
      </c>
      <c r="M193">
        <v>101704</v>
      </c>
      <c r="N193" t="s">
        <v>47</v>
      </c>
      <c r="O193" t="s">
        <v>35</v>
      </c>
      <c r="P193" t="s">
        <v>76</v>
      </c>
      <c r="Q193" t="s">
        <v>200</v>
      </c>
      <c r="R193" t="s">
        <v>126</v>
      </c>
      <c r="S193" t="str">
        <f t="shared" si="2"/>
        <v>25-34</v>
      </c>
    </row>
    <row r="194" spans="1:19" x14ac:dyDescent="0.3">
      <c r="A194">
        <v>193</v>
      </c>
      <c r="B194" t="s">
        <v>127</v>
      </c>
      <c r="C194" t="s">
        <v>110</v>
      </c>
      <c r="D194" t="s">
        <v>175</v>
      </c>
      <c r="E194" t="s">
        <v>28</v>
      </c>
      <c r="F194">
        <v>64</v>
      </c>
      <c r="G194" t="s">
        <v>72</v>
      </c>
      <c r="H194">
        <v>25</v>
      </c>
      <c r="I194" t="s">
        <v>73</v>
      </c>
      <c r="J194" t="s">
        <v>94</v>
      </c>
      <c r="K194" t="s">
        <v>100</v>
      </c>
      <c r="L194" t="s">
        <v>55</v>
      </c>
      <c r="M194">
        <v>156267</v>
      </c>
      <c r="N194" t="s">
        <v>34</v>
      </c>
      <c r="O194" t="s">
        <v>57</v>
      </c>
      <c r="P194" t="s">
        <v>89</v>
      </c>
      <c r="Q194" t="s">
        <v>90</v>
      </c>
      <c r="R194" t="s">
        <v>103</v>
      </c>
      <c r="S194" t="str">
        <f t="shared" ref="S194:S257" si="3">IF(F194&lt;25,"18-24",IF(F194&lt;35,"25-34",IF(F194&lt;45,"35-44",IF(F194&lt;55,"45-54","55-65"))))</f>
        <v>55-65</v>
      </c>
    </row>
    <row r="195" spans="1:19" x14ac:dyDescent="0.3">
      <c r="A195">
        <v>194</v>
      </c>
      <c r="B195" t="s">
        <v>120</v>
      </c>
      <c r="C195" t="s">
        <v>143</v>
      </c>
      <c r="D195" t="s">
        <v>154</v>
      </c>
      <c r="E195" t="s">
        <v>28</v>
      </c>
      <c r="F195">
        <v>42</v>
      </c>
      <c r="G195" t="s">
        <v>72</v>
      </c>
      <c r="H195">
        <v>5</v>
      </c>
      <c r="I195" t="s">
        <v>122</v>
      </c>
      <c r="J195" t="s">
        <v>44</v>
      </c>
      <c r="K195" t="s">
        <v>184</v>
      </c>
      <c r="L195" t="s">
        <v>206</v>
      </c>
      <c r="M195">
        <v>346792</v>
      </c>
      <c r="N195" t="s">
        <v>56</v>
      </c>
      <c r="O195" t="s">
        <v>57</v>
      </c>
      <c r="P195" t="s">
        <v>101</v>
      </c>
      <c r="Q195" t="s">
        <v>82</v>
      </c>
      <c r="R195" t="s">
        <v>126</v>
      </c>
      <c r="S195" t="str">
        <f t="shared" si="3"/>
        <v>35-44</v>
      </c>
    </row>
    <row r="196" spans="1:19" x14ac:dyDescent="0.3">
      <c r="A196">
        <v>195</v>
      </c>
      <c r="B196" t="s">
        <v>61</v>
      </c>
      <c r="C196" t="s">
        <v>172</v>
      </c>
      <c r="D196" t="s">
        <v>93</v>
      </c>
      <c r="E196" t="s">
        <v>51</v>
      </c>
      <c r="F196">
        <v>56</v>
      </c>
      <c r="G196" t="s">
        <v>107</v>
      </c>
      <c r="H196">
        <v>29</v>
      </c>
      <c r="I196" t="s">
        <v>132</v>
      </c>
      <c r="J196" t="s">
        <v>164</v>
      </c>
      <c r="K196" t="s">
        <v>209</v>
      </c>
      <c r="L196" t="s">
        <v>55</v>
      </c>
      <c r="M196">
        <v>270289</v>
      </c>
      <c r="N196" t="s">
        <v>115</v>
      </c>
      <c r="O196" t="s">
        <v>75</v>
      </c>
      <c r="P196" t="s">
        <v>101</v>
      </c>
      <c r="Q196" t="s">
        <v>129</v>
      </c>
      <c r="R196" t="s">
        <v>126</v>
      </c>
      <c r="S196" t="str">
        <f t="shared" si="3"/>
        <v>55-65</v>
      </c>
    </row>
    <row r="197" spans="1:19" x14ac:dyDescent="0.3">
      <c r="A197">
        <v>196</v>
      </c>
      <c r="B197" t="s">
        <v>297</v>
      </c>
      <c r="C197" t="s">
        <v>215</v>
      </c>
      <c r="D197" t="s">
        <v>189</v>
      </c>
      <c r="E197" t="s">
        <v>28</v>
      </c>
      <c r="F197">
        <v>45</v>
      </c>
      <c r="G197" t="s">
        <v>72</v>
      </c>
      <c r="H197">
        <v>13</v>
      </c>
      <c r="I197" t="s">
        <v>122</v>
      </c>
      <c r="J197" t="s">
        <v>164</v>
      </c>
      <c r="K197" t="s">
        <v>284</v>
      </c>
      <c r="L197" t="s">
        <v>67</v>
      </c>
      <c r="M197">
        <v>39019</v>
      </c>
      <c r="N197" t="s">
        <v>56</v>
      </c>
      <c r="O197" t="s">
        <v>75</v>
      </c>
      <c r="P197" t="s">
        <v>101</v>
      </c>
      <c r="Q197" t="s">
        <v>129</v>
      </c>
      <c r="R197" t="s">
        <v>126</v>
      </c>
      <c r="S197" t="str">
        <f t="shared" si="3"/>
        <v>45-54</v>
      </c>
    </row>
    <row r="198" spans="1:19" x14ac:dyDescent="0.3">
      <c r="A198">
        <v>197</v>
      </c>
      <c r="B198" t="s">
        <v>166</v>
      </c>
      <c r="C198" t="s">
        <v>93</v>
      </c>
      <c r="D198" t="s">
        <v>92</v>
      </c>
      <c r="E198" t="s">
        <v>28</v>
      </c>
      <c r="F198">
        <v>62</v>
      </c>
      <c r="G198" t="s">
        <v>198</v>
      </c>
      <c r="H198">
        <v>25</v>
      </c>
      <c r="I198" t="s">
        <v>43</v>
      </c>
      <c r="J198" t="s">
        <v>44</v>
      </c>
      <c r="K198" t="s">
        <v>232</v>
      </c>
      <c r="L198" t="s">
        <v>33</v>
      </c>
      <c r="M198">
        <v>124014</v>
      </c>
      <c r="N198" t="s">
        <v>96</v>
      </c>
      <c r="O198" t="s">
        <v>35</v>
      </c>
      <c r="P198" t="s">
        <v>36</v>
      </c>
      <c r="Q198" t="s">
        <v>161</v>
      </c>
      <c r="R198" t="s">
        <v>83</v>
      </c>
      <c r="S198" t="str">
        <f t="shared" si="3"/>
        <v>55-65</v>
      </c>
    </row>
    <row r="199" spans="1:19" x14ac:dyDescent="0.3">
      <c r="A199">
        <v>198</v>
      </c>
      <c r="B199" t="s">
        <v>318</v>
      </c>
      <c r="C199" t="s">
        <v>62</v>
      </c>
      <c r="D199" t="s">
        <v>106</v>
      </c>
      <c r="E199" t="s">
        <v>51</v>
      </c>
      <c r="F199">
        <v>47</v>
      </c>
      <c r="G199" t="s">
        <v>144</v>
      </c>
      <c r="H199">
        <v>12</v>
      </c>
      <c r="I199" t="s">
        <v>118</v>
      </c>
      <c r="J199" t="s">
        <v>53</v>
      </c>
      <c r="K199" t="s">
        <v>66</v>
      </c>
      <c r="L199" t="s">
        <v>206</v>
      </c>
      <c r="M199">
        <v>171609</v>
      </c>
      <c r="N199" t="s">
        <v>34</v>
      </c>
      <c r="O199" t="s">
        <v>57</v>
      </c>
      <c r="P199" t="s">
        <v>68</v>
      </c>
      <c r="Q199" t="s">
        <v>267</v>
      </c>
      <c r="R199" t="s">
        <v>103</v>
      </c>
      <c r="S199" t="str">
        <f t="shared" si="3"/>
        <v>45-54</v>
      </c>
    </row>
    <row r="200" spans="1:19" x14ac:dyDescent="0.3">
      <c r="A200">
        <v>199</v>
      </c>
      <c r="B200" t="s">
        <v>291</v>
      </c>
      <c r="C200" t="s">
        <v>160</v>
      </c>
      <c r="D200" t="s">
        <v>172</v>
      </c>
      <c r="E200" t="s">
        <v>51</v>
      </c>
      <c r="F200">
        <v>59</v>
      </c>
      <c r="G200" t="s">
        <v>107</v>
      </c>
      <c r="H200">
        <v>4</v>
      </c>
      <c r="I200" t="s">
        <v>73</v>
      </c>
      <c r="J200" t="s">
        <v>113</v>
      </c>
      <c r="K200" t="s">
        <v>114</v>
      </c>
      <c r="L200" t="s">
        <v>67</v>
      </c>
      <c r="M200">
        <v>325823</v>
      </c>
      <c r="N200" t="s">
        <v>56</v>
      </c>
      <c r="O200" t="s">
        <v>35</v>
      </c>
      <c r="P200" t="s">
        <v>101</v>
      </c>
      <c r="Q200" t="s">
        <v>125</v>
      </c>
      <c r="R200" t="s">
        <v>126</v>
      </c>
      <c r="S200" t="str">
        <f t="shared" si="3"/>
        <v>55-65</v>
      </c>
    </row>
    <row r="201" spans="1:19" x14ac:dyDescent="0.3">
      <c r="A201">
        <v>200</v>
      </c>
      <c r="B201" t="s">
        <v>287</v>
      </c>
      <c r="C201" t="s">
        <v>167</v>
      </c>
      <c r="D201" t="s">
        <v>221</v>
      </c>
      <c r="E201" t="s">
        <v>28</v>
      </c>
      <c r="F201">
        <v>58</v>
      </c>
      <c r="G201" t="s">
        <v>198</v>
      </c>
      <c r="H201">
        <v>8</v>
      </c>
      <c r="I201" t="s">
        <v>199</v>
      </c>
      <c r="J201" t="s">
        <v>164</v>
      </c>
      <c r="K201" t="s">
        <v>253</v>
      </c>
      <c r="L201" t="s">
        <v>206</v>
      </c>
      <c r="M201">
        <v>225965</v>
      </c>
      <c r="N201" t="s">
        <v>96</v>
      </c>
      <c r="O201" t="s">
        <v>35</v>
      </c>
      <c r="P201" t="s">
        <v>169</v>
      </c>
      <c r="Q201" t="s">
        <v>207</v>
      </c>
      <c r="R201" t="s">
        <v>126</v>
      </c>
      <c r="S201" t="str">
        <f t="shared" si="3"/>
        <v>55-65</v>
      </c>
    </row>
    <row r="202" spans="1:19" x14ac:dyDescent="0.3">
      <c r="A202">
        <v>201</v>
      </c>
      <c r="B202" t="s">
        <v>166</v>
      </c>
      <c r="C202" t="s">
        <v>244</v>
      </c>
      <c r="D202" t="s">
        <v>221</v>
      </c>
      <c r="E202" t="s">
        <v>28</v>
      </c>
      <c r="F202">
        <v>31</v>
      </c>
      <c r="G202" t="s">
        <v>139</v>
      </c>
      <c r="H202">
        <v>1</v>
      </c>
      <c r="I202" t="s">
        <v>140</v>
      </c>
      <c r="J202" t="s">
        <v>44</v>
      </c>
      <c r="K202" t="s">
        <v>219</v>
      </c>
      <c r="L202" t="s">
        <v>46</v>
      </c>
      <c r="M202">
        <v>204185</v>
      </c>
      <c r="N202" t="s">
        <v>115</v>
      </c>
      <c r="O202" t="s">
        <v>57</v>
      </c>
      <c r="P202" t="s">
        <v>230</v>
      </c>
      <c r="Q202" t="s">
        <v>259</v>
      </c>
      <c r="R202" t="s">
        <v>83</v>
      </c>
      <c r="S202" t="str">
        <f t="shared" si="3"/>
        <v>25-34</v>
      </c>
    </row>
    <row r="203" spans="1:19" x14ac:dyDescent="0.3">
      <c r="A203">
        <v>202</v>
      </c>
      <c r="B203" t="s">
        <v>104</v>
      </c>
      <c r="C203" t="s">
        <v>62</v>
      </c>
      <c r="D203" t="s">
        <v>154</v>
      </c>
      <c r="E203" t="s">
        <v>28</v>
      </c>
      <c r="F203">
        <v>58</v>
      </c>
      <c r="G203" t="s">
        <v>72</v>
      </c>
      <c r="H203">
        <v>28</v>
      </c>
      <c r="I203" t="s">
        <v>73</v>
      </c>
      <c r="J203" t="s">
        <v>123</v>
      </c>
      <c r="K203" t="s">
        <v>124</v>
      </c>
      <c r="L203" t="s">
        <v>206</v>
      </c>
      <c r="M203">
        <v>139081</v>
      </c>
      <c r="N203" t="s">
        <v>56</v>
      </c>
      <c r="O203" t="s">
        <v>35</v>
      </c>
      <c r="P203" t="s">
        <v>76</v>
      </c>
      <c r="Q203" t="s">
        <v>305</v>
      </c>
      <c r="R203" t="s">
        <v>83</v>
      </c>
      <c r="S203" t="str">
        <f t="shared" si="3"/>
        <v>55-65</v>
      </c>
    </row>
    <row r="204" spans="1:19" x14ac:dyDescent="0.3">
      <c r="A204">
        <v>203</v>
      </c>
      <c r="B204" t="s">
        <v>191</v>
      </c>
      <c r="C204" t="s">
        <v>211</v>
      </c>
      <c r="D204" t="s">
        <v>175</v>
      </c>
      <c r="E204" t="s">
        <v>51</v>
      </c>
      <c r="F204">
        <v>57</v>
      </c>
      <c r="G204" t="s">
        <v>72</v>
      </c>
      <c r="H204">
        <v>23</v>
      </c>
      <c r="I204" t="s">
        <v>73</v>
      </c>
      <c r="J204" t="s">
        <v>164</v>
      </c>
      <c r="K204" t="s">
        <v>284</v>
      </c>
      <c r="L204" t="s">
        <v>55</v>
      </c>
      <c r="M204">
        <v>236878</v>
      </c>
      <c r="N204" t="s">
        <v>34</v>
      </c>
      <c r="O204" t="s">
        <v>35</v>
      </c>
      <c r="P204" t="s">
        <v>217</v>
      </c>
      <c r="Q204" t="s">
        <v>303</v>
      </c>
      <c r="R204" t="s">
        <v>83</v>
      </c>
      <c r="S204" t="str">
        <f t="shared" si="3"/>
        <v>55-65</v>
      </c>
    </row>
    <row r="205" spans="1:19" x14ac:dyDescent="0.3">
      <c r="A205">
        <v>204</v>
      </c>
      <c r="B205" t="s">
        <v>319</v>
      </c>
      <c r="C205" t="s">
        <v>93</v>
      </c>
      <c r="D205" t="s">
        <v>146</v>
      </c>
      <c r="E205" t="s">
        <v>28</v>
      </c>
      <c r="F205">
        <v>56</v>
      </c>
      <c r="G205" t="s">
        <v>144</v>
      </c>
      <c r="H205">
        <v>17</v>
      </c>
      <c r="I205" t="s">
        <v>118</v>
      </c>
      <c r="J205" t="s">
        <v>123</v>
      </c>
      <c r="K205" t="s">
        <v>320</v>
      </c>
      <c r="L205" t="s">
        <v>67</v>
      </c>
      <c r="M205">
        <v>137380</v>
      </c>
      <c r="N205" t="s">
        <v>96</v>
      </c>
      <c r="O205" t="s">
        <v>75</v>
      </c>
      <c r="P205" t="s">
        <v>169</v>
      </c>
      <c r="Q205" t="s">
        <v>170</v>
      </c>
      <c r="R205" t="s">
        <v>126</v>
      </c>
      <c r="S205" t="str">
        <f t="shared" si="3"/>
        <v>55-65</v>
      </c>
    </row>
    <row r="206" spans="1:19" x14ac:dyDescent="0.3">
      <c r="A206">
        <v>205</v>
      </c>
      <c r="B206" t="s">
        <v>159</v>
      </c>
      <c r="C206" t="s">
        <v>66</v>
      </c>
      <c r="D206" t="s">
        <v>117</v>
      </c>
      <c r="E206" t="s">
        <v>28</v>
      </c>
      <c r="F206">
        <v>46</v>
      </c>
      <c r="G206" t="s">
        <v>79</v>
      </c>
      <c r="H206">
        <v>5</v>
      </c>
      <c r="I206" t="s">
        <v>52</v>
      </c>
      <c r="J206" t="s">
        <v>31</v>
      </c>
      <c r="K206" t="s">
        <v>301</v>
      </c>
      <c r="L206" t="s">
        <v>33</v>
      </c>
      <c r="M206">
        <v>303605</v>
      </c>
      <c r="N206" t="s">
        <v>96</v>
      </c>
      <c r="O206" t="s">
        <v>35</v>
      </c>
      <c r="P206" t="s">
        <v>217</v>
      </c>
      <c r="Q206" t="s">
        <v>303</v>
      </c>
      <c r="R206" t="s">
        <v>38</v>
      </c>
      <c r="S206" t="str">
        <f t="shared" si="3"/>
        <v>45-54</v>
      </c>
    </row>
    <row r="207" spans="1:19" x14ac:dyDescent="0.3">
      <c r="A207">
        <v>206</v>
      </c>
      <c r="B207" t="s">
        <v>289</v>
      </c>
      <c r="C207" t="s">
        <v>163</v>
      </c>
      <c r="D207" t="s">
        <v>215</v>
      </c>
      <c r="E207" t="s">
        <v>51</v>
      </c>
      <c r="F207">
        <v>44</v>
      </c>
      <c r="G207" t="s">
        <v>198</v>
      </c>
      <c r="H207">
        <v>14</v>
      </c>
      <c r="I207" t="s">
        <v>199</v>
      </c>
      <c r="J207" t="s">
        <v>44</v>
      </c>
      <c r="K207" t="s">
        <v>88</v>
      </c>
      <c r="L207" t="s">
        <v>46</v>
      </c>
      <c r="M207">
        <v>62702</v>
      </c>
      <c r="N207" t="s">
        <v>34</v>
      </c>
      <c r="O207" t="s">
        <v>35</v>
      </c>
      <c r="P207" t="s">
        <v>89</v>
      </c>
      <c r="Q207" t="s">
        <v>225</v>
      </c>
      <c r="R207" t="s">
        <v>83</v>
      </c>
      <c r="S207" t="str">
        <f t="shared" si="3"/>
        <v>35-44</v>
      </c>
    </row>
    <row r="208" spans="1:19" x14ac:dyDescent="0.3">
      <c r="A208">
        <v>207</v>
      </c>
      <c r="B208" t="s">
        <v>226</v>
      </c>
      <c r="C208" t="s">
        <v>128</v>
      </c>
      <c r="D208" t="s">
        <v>110</v>
      </c>
      <c r="E208" t="s">
        <v>28</v>
      </c>
      <c r="F208">
        <v>54</v>
      </c>
      <c r="G208" t="s">
        <v>79</v>
      </c>
      <c r="H208">
        <v>6</v>
      </c>
      <c r="I208" t="s">
        <v>52</v>
      </c>
      <c r="J208" t="s">
        <v>164</v>
      </c>
      <c r="K208" t="s">
        <v>253</v>
      </c>
      <c r="L208" t="s">
        <v>46</v>
      </c>
      <c r="M208">
        <v>181228</v>
      </c>
      <c r="N208" t="s">
        <v>34</v>
      </c>
      <c r="O208" t="s">
        <v>57</v>
      </c>
      <c r="P208" t="s">
        <v>89</v>
      </c>
      <c r="Q208" t="s">
        <v>119</v>
      </c>
      <c r="R208" t="s">
        <v>126</v>
      </c>
      <c r="S208" t="str">
        <f t="shared" si="3"/>
        <v>45-54</v>
      </c>
    </row>
    <row r="209" spans="1:19" x14ac:dyDescent="0.3">
      <c r="A209">
        <v>208</v>
      </c>
      <c r="B209" t="s">
        <v>61</v>
      </c>
      <c r="C209" t="s">
        <v>142</v>
      </c>
      <c r="D209" t="s">
        <v>172</v>
      </c>
      <c r="E209" t="s">
        <v>51</v>
      </c>
      <c r="F209">
        <v>45</v>
      </c>
      <c r="G209" t="s">
        <v>107</v>
      </c>
      <c r="H209">
        <v>15</v>
      </c>
      <c r="I209" t="s">
        <v>73</v>
      </c>
      <c r="J209" t="s">
        <v>94</v>
      </c>
      <c r="K209" t="s">
        <v>210</v>
      </c>
      <c r="L209" t="s">
        <v>33</v>
      </c>
      <c r="M209">
        <v>107710</v>
      </c>
      <c r="N209" t="s">
        <v>96</v>
      </c>
      <c r="O209" t="s">
        <v>57</v>
      </c>
      <c r="P209" t="s">
        <v>101</v>
      </c>
      <c r="Q209" t="s">
        <v>125</v>
      </c>
      <c r="R209" t="s">
        <v>83</v>
      </c>
      <c r="S209" t="str">
        <f t="shared" si="3"/>
        <v>45-54</v>
      </c>
    </row>
    <row r="210" spans="1:19" x14ac:dyDescent="0.3">
      <c r="A210">
        <v>209</v>
      </c>
      <c r="B210" t="s">
        <v>166</v>
      </c>
      <c r="C210" t="s">
        <v>62</v>
      </c>
      <c r="D210" t="s">
        <v>111</v>
      </c>
      <c r="E210" t="s">
        <v>28</v>
      </c>
      <c r="F210">
        <v>55</v>
      </c>
      <c r="G210" t="s">
        <v>29</v>
      </c>
      <c r="H210">
        <v>7</v>
      </c>
      <c r="I210" t="s">
        <v>30</v>
      </c>
      <c r="J210" t="s">
        <v>164</v>
      </c>
      <c r="K210" t="s">
        <v>270</v>
      </c>
      <c r="L210" t="s">
        <v>67</v>
      </c>
      <c r="M210">
        <v>223306</v>
      </c>
      <c r="N210" t="s">
        <v>56</v>
      </c>
      <c r="O210" t="s">
        <v>35</v>
      </c>
      <c r="P210" t="s">
        <v>76</v>
      </c>
      <c r="Q210" t="s">
        <v>305</v>
      </c>
      <c r="R210" t="s">
        <v>38</v>
      </c>
      <c r="S210" t="str">
        <f t="shared" si="3"/>
        <v>55-65</v>
      </c>
    </row>
    <row r="211" spans="1:19" x14ac:dyDescent="0.3">
      <c r="A211">
        <v>210</v>
      </c>
      <c r="B211" t="s">
        <v>277</v>
      </c>
      <c r="C211" t="s">
        <v>85</v>
      </c>
      <c r="D211" t="s">
        <v>178</v>
      </c>
      <c r="E211" t="s">
        <v>28</v>
      </c>
      <c r="F211">
        <v>28</v>
      </c>
      <c r="G211" t="s">
        <v>42</v>
      </c>
      <c r="H211">
        <v>9</v>
      </c>
      <c r="I211" t="s">
        <v>43</v>
      </c>
      <c r="J211" t="s">
        <v>94</v>
      </c>
      <c r="K211" t="s">
        <v>151</v>
      </c>
      <c r="L211" t="s">
        <v>55</v>
      </c>
      <c r="M211">
        <v>104820</v>
      </c>
      <c r="N211" t="s">
        <v>56</v>
      </c>
      <c r="O211" t="s">
        <v>75</v>
      </c>
      <c r="P211" t="s">
        <v>76</v>
      </c>
      <c r="Q211" t="s">
        <v>272</v>
      </c>
      <c r="R211" t="s">
        <v>60</v>
      </c>
      <c r="S211" t="str">
        <f t="shared" si="3"/>
        <v>25-34</v>
      </c>
    </row>
    <row r="212" spans="1:19" x14ac:dyDescent="0.3">
      <c r="A212">
        <v>211</v>
      </c>
      <c r="B212" t="s">
        <v>314</v>
      </c>
      <c r="C212" t="s">
        <v>149</v>
      </c>
      <c r="D212" t="s">
        <v>27</v>
      </c>
      <c r="E212" t="s">
        <v>28</v>
      </c>
      <c r="F212">
        <v>33</v>
      </c>
      <c r="G212" t="s">
        <v>72</v>
      </c>
      <c r="H212">
        <v>5</v>
      </c>
      <c r="I212" t="s">
        <v>122</v>
      </c>
      <c r="J212" t="s">
        <v>44</v>
      </c>
      <c r="K212" t="s">
        <v>293</v>
      </c>
      <c r="L212" t="s">
        <v>206</v>
      </c>
      <c r="M212">
        <v>290826</v>
      </c>
      <c r="N212" t="s">
        <v>96</v>
      </c>
      <c r="O212" t="s">
        <v>35</v>
      </c>
      <c r="P212" t="s">
        <v>169</v>
      </c>
      <c r="Q212" t="s">
        <v>240</v>
      </c>
      <c r="R212" t="s">
        <v>126</v>
      </c>
      <c r="S212" t="str">
        <f t="shared" si="3"/>
        <v>25-34</v>
      </c>
    </row>
    <row r="213" spans="1:19" x14ac:dyDescent="0.3">
      <c r="A213">
        <v>212</v>
      </c>
      <c r="B213" t="s">
        <v>247</v>
      </c>
      <c r="C213" t="s">
        <v>63</v>
      </c>
      <c r="D213" t="s">
        <v>138</v>
      </c>
      <c r="E213" t="s">
        <v>51</v>
      </c>
      <c r="F213">
        <v>43</v>
      </c>
      <c r="G213" t="s">
        <v>64</v>
      </c>
      <c r="H213">
        <v>21</v>
      </c>
      <c r="I213" t="s">
        <v>118</v>
      </c>
      <c r="J213" t="s">
        <v>164</v>
      </c>
      <c r="K213" t="s">
        <v>164</v>
      </c>
      <c r="L213" t="s">
        <v>55</v>
      </c>
      <c r="M213">
        <v>244673</v>
      </c>
      <c r="N213" t="s">
        <v>96</v>
      </c>
      <c r="O213" t="s">
        <v>57</v>
      </c>
      <c r="P213" t="s">
        <v>36</v>
      </c>
      <c r="Q213" t="s">
        <v>234</v>
      </c>
      <c r="R213" t="s">
        <v>83</v>
      </c>
      <c r="S213" t="str">
        <f t="shared" si="3"/>
        <v>35-44</v>
      </c>
    </row>
    <row r="214" spans="1:19" x14ac:dyDescent="0.3">
      <c r="A214">
        <v>213</v>
      </c>
      <c r="B214" t="s">
        <v>116</v>
      </c>
      <c r="C214" t="s">
        <v>106</v>
      </c>
      <c r="D214" t="s">
        <v>71</v>
      </c>
      <c r="E214" t="s">
        <v>28</v>
      </c>
      <c r="F214">
        <v>22</v>
      </c>
      <c r="G214" t="s">
        <v>72</v>
      </c>
      <c r="H214">
        <v>22</v>
      </c>
      <c r="I214" t="s">
        <v>73</v>
      </c>
      <c r="J214" t="s">
        <v>44</v>
      </c>
      <c r="K214" t="s">
        <v>294</v>
      </c>
      <c r="L214" t="s">
        <v>206</v>
      </c>
      <c r="M214">
        <v>80151</v>
      </c>
      <c r="N214" t="s">
        <v>115</v>
      </c>
      <c r="O214" t="s">
        <v>57</v>
      </c>
      <c r="P214" t="s">
        <v>36</v>
      </c>
      <c r="Q214" t="s">
        <v>48</v>
      </c>
      <c r="R214" t="s">
        <v>83</v>
      </c>
      <c r="S214" t="str">
        <f t="shared" si="3"/>
        <v>18-24</v>
      </c>
    </row>
    <row r="215" spans="1:19" x14ac:dyDescent="0.3">
      <c r="A215">
        <v>214</v>
      </c>
      <c r="B215" t="s">
        <v>246</v>
      </c>
      <c r="C215" t="s">
        <v>181</v>
      </c>
      <c r="D215" t="s">
        <v>167</v>
      </c>
      <c r="E215" t="s">
        <v>51</v>
      </c>
      <c r="F215">
        <v>39</v>
      </c>
      <c r="G215" t="s">
        <v>150</v>
      </c>
      <c r="H215">
        <v>5</v>
      </c>
      <c r="I215" t="s">
        <v>112</v>
      </c>
      <c r="J215" t="s">
        <v>94</v>
      </c>
      <c r="K215" t="s">
        <v>95</v>
      </c>
      <c r="L215" t="s">
        <v>206</v>
      </c>
      <c r="M215">
        <v>39353</v>
      </c>
      <c r="N215" t="s">
        <v>34</v>
      </c>
      <c r="O215" t="s">
        <v>35</v>
      </c>
      <c r="P215" t="s">
        <v>97</v>
      </c>
      <c r="Q215" t="s">
        <v>98</v>
      </c>
      <c r="R215" t="s">
        <v>38</v>
      </c>
      <c r="S215" t="str">
        <f t="shared" si="3"/>
        <v>35-44</v>
      </c>
    </row>
    <row r="216" spans="1:19" x14ac:dyDescent="0.3">
      <c r="A216">
        <v>215</v>
      </c>
      <c r="B216" t="s">
        <v>191</v>
      </c>
      <c r="C216" t="s">
        <v>105</v>
      </c>
      <c r="D216" t="s">
        <v>221</v>
      </c>
      <c r="E216" t="s">
        <v>51</v>
      </c>
      <c r="F216">
        <v>59</v>
      </c>
      <c r="G216" t="s">
        <v>29</v>
      </c>
      <c r="H216">
        <v>23</v>
      </c>
      <c r="I216" t="s">
        <v>52</v>
      </c>
      <c r="J216" t="s">
        <v>31</v>
      </c>
      <c r="K216" t="s">
        <v>158</v>
      </c>
      <c r="L216" t="s">
        <v>55</v>
      </c>
      <c r="M216">
        <v>306676</v>
      </c>
      <c r="N216" t="s">
        <v>34</v>
      </c>
      <c r="O216" t="s">
        <v>75</v>
      </c>
      <c r="P216" t="s">
        <v>230</v>
      </c>
      <c r="Q216" t="s">
        <v>298</v>
      </c>
      <c r="R216" t="s">
        <v>83</v>
      </c>
      <c r="S216" t="str">
        <f t="shared" si="3"/>
        <v>55-65</v>
      </c>
    </row>
    <row r="217" spans="1:19" x14ac:dyDescent="0.3">
      <c r="A217">
        <v>216</v>
      </c>
      <c r="B217" t="s">
        <v>318</v>
      </c>
      <c r="C217" t="s">
        <v>93</v>
      </c>
      <c r="D217" t="s">
        <v>121</v>
      </c>
      <c r="E217" t="s">
        <v>51</v>
      </c>
      <c r="F217">
        <v>58</v>
      </c>
      <c r="G217" t="s">
        <v>72</v>
      </c>
      <c r="H217">
        <v>6</v>
      </c>
      <c r="I217" t="s">
        <v>122</v>
      </c>
      <c r="J217" t="s">
        <v>113</v>
      </c>
      <c r="K217" t="s">
        <v>310</v>
      </c>
      <c r="L217" t="s">
        <v>33</v>
      </c>
      <c r="M217">
        <v>153085</v>
      </c>
      <c r="N217" t="s">
        <v>34</v>
      </c>
      <c r="O217" t="s">
        <v>35</v>
      </c>
      <c r="P217" t="s">
        <v>230</v>
      </c>
      <c r="Q217" t="s">
        <v>298</v>
      </c>
      <c r="R217" t="s">
        <v>38</v>
      </c>
      <c r="S217" t="str">
        <f t="shared" si="3"/>
        <v>55-65</v>
      </c>
    </row>
    <row r="218" spans="1:19" x14ac:dyDescent="0.3">
      <c r="A218">
        <v>217</v>
      </c>
      <c r="B218" t="s">
        <v>291</v>
      </c>
      <c r="C218" t="s">
        <v>131</v>
      </c>
      <c r="D218" t="s">
        <v>244</v>
      </c>
      <c r="E218" t="s">
        <v>51</v>
      </c>
      <c r="F218">
        <v>18</v>
      </c>
      <c r="G218" t="s">
        <v>29</v>
      </c>
      <c r="H218">
        <v>17</v>
      </c>
      <c r="I218" t="s">
        <v>30</v>
      </c>
      <c r="J218" t="s">
        <v>44</v>
      </c>
      <c r="K218" t="s">
        <v>88</v>
      </c>
      <c r="L218" t="s">
        <v>206</v>
      </c>
      <c r="M218">
        <v>286903</v>
      </c>
      <c r="N218" t="s">
        <v>115</v>
      </c>
      <c r="O218" t="s">
        <v>57</v>
      </c>
      <c r="P218" t="s">
        <v>97</v>
      </c>
      <c r="Q218" t="s">
        <v>243</v>
      </c>
      <c r="R218" t="s">
        <v>60</v>
      </c>
      <c r="S218" t="str">
        <f t="shared" si="3"/>
        <v>18-24</v>
      </c>
    </row>
    <row r="219" spans="1:19" x14ac:dyDescent="0.3">
      <c r="A219">
        <v>218</v>
      </c>
      <c r="B219" t="s">
        <v>70</v>
      </c>
      <c r="C219" t="s">
        <v>204</v>
      </c>
      <c r="D219" t="s">
        <v>106</v>
      </c>
      <c r="E219" t="s">
        <v>28</v>
      </c>
      <c r="F219">
        <v>37</v>
      </c>
      <c r="G219" t="s">
        <v>64</v>
      </c>
      <c r="H219">
        <v>4</v>
      </c>
      <c r="I219" t="s">
        <v>65</v>
      </c>
      <c r="J219" t="s">
        <v>53</v>
      </c>
      <c r="K219" t="s">
        <v>66</v>
      </c>
      <c r="L219" t="s">
        <v>67</v>
      </c>
      <c r="M219">
        <v>271844</v>
      </c>
      <c r="N219" t="s">
        <v>115</v>
      </c>
      <c r="O219" t="s">
        <v>35</v>
      </c>
      <c r="P219" t="s">
        <v>169</v>
      </c>
      <c r="Q219" t="s">
        <v>265</v>
      </c>
      <c r="R219" t="s">
        <v>126</v>
      </c>
      <c r="S219" t="str">
        <f t="shared" si="3"/>
        <v>35-44</v>
      </c>
    </row>
    <row r="220" spans="1:19" x14ac:dyDescent="0.3">
      <c r="A220">
        <v>219</v>
      </c>
      <c r="B220" t="s">
        <v>300</v>
      </c>
      <c r="C220" t="s">
        <v>215</v>
      </c>
      <c r="D220" t="s">
        <v>66</v>
      </c>
      <c r="E220" t="s">
        <v>28</v>
      </c>
      <c r="F220">
        <v>58</v>
      </c>
      <c r="G220" t="s">
        <v>198</v>
      </c>
      <c r="H220">
        <v>12</v>
      </c>
      <c r="I220" t="s">
        <v>199</v>
      </c>
      <c r="J220" t="s">
        <v>44</v>
      </c>
      <c r="K220" t="s">
        <v>219</v>
      </c>
      <c r="L220" t="s">
        <v>206</v>
      </c>
      <c r="M220">
        <v>217546</v>
      </c>
      <c r="N220" t="s">
        <v>115</v>
      </c>
      <c r="O220" t="s">
        <v>35</v>
      </c>
      <c r="P220" t="s">
        <v>169</v>
      </c>
      <c r="Q220" t="s">
        <v>265</v>
      </c>
      <c r="R220" t="s">
        <v>60</v>
      </c>
      <c r="S220" t="str">
        <f t="shared" si="3"/>
        <v>55-65</v>
      </c>
    </row>
    <row r="221" spans="1:19" x14ac:dyDescent="0.3">
      <c r="A221">
        <v>220</v>
      </c>
      <c r="B221" t="s">
        <v>197</v>
      </c>
      <c r="C221" t="s">
        <v>244</v>
      </c>
      <c r="D221" t="s">
        <v>106</v>
      </c>
      <c r="E221" t="s">
        <v>28</v>
      </c>
      <c r="F221">
        <v>26</v>
      </c>
      <c r="G221" t="s">
        <v>139</v>
      </c>
      <c r="H221">
        <v>12</v>
      </c>
      <c r="I221" t="s">
        <v>140</v>
      </c>
      <c r="J221" t="s">
        <v>123</v>
      </c>
      <c r="K221" t="s">
        <v>262</v>
      </c>
      <c r="L221" t="s">
        <v>67</v>
      </c>
      <c r="M221">
        <v>227394</v>
      </c>
      <c r="N221" t="s">
        <v>56</v>
      </c>
      <c r="O221" t="s">
        <v>75</v>
      </c>
      <c r="P221" t="s">
        <v>68</v>
      </c>
      <c r="Q221" t="s">
        <v>147</v>
      </c>
      <c r="R221" t="s">
        <v>126</v>
      </c>
      <c r="S221" t="str">
        <f t="shared" si="3"/>
        <v>25-34</v>
      </c>
    </row>
    <row r="222" spans="1:19" x14ac:dyDescent="0.3">
      <c r="A222">
        <v>221</v>
      </c>
      <c r="B222" t="s">
        <v>263</v>
      </c>
      <c r="C222" t="s">
        <v>121</v>
      </c>
      <c r="D222" t="s">
        <v>160</v>
      </c>
      <c r="E222" t="s">
        <v>51</v>
      </c>
      <c r="F222">
        <v>30</v>
      </c>
      <c r="G222" t="s">
        <v>29</v>
      </c>
      <c r="H222">
        <v>17</v>
      </c>
      <c r="I222" t="s">
        <v>30</v>
      </c>
      <c r="J222" t="s">
        <v>94</v>
      </c>
      <c r="K222" t="s">
        <v>151</v>
      </c>
      <c r="L222" t="s">
        <v>67</v>
      </c>
      <c r="M222">
        <v>227929</v>
      </c>
      <c r="N222" t="s">
        <v>96</v>
      </c>
      <c r="O222" t="s">
        <v>57</v>
      </c>
      <c r="P222" t="s">
        <v>58</v>
      </c>
      <c r="Q222" t="s">
        <v>165</v>
      </c>
      <c r="R222" t="s">
        <v>60</v>
      </c>
      <c r="S222" t="str">
        <f t="shared" si="3"/>
        <v>25-34</v>
      </c>
    </row>
    <row r="223" spans="1:19" x14ac:dyDescent="0.3">
      <c r="A223">
        <v>222</v>
      </c>
      <c r="B223" t="s">
        <v>258</v>
      </c>
      <c r="C223" t="s">
        <v>249</v>
      </c>
      <c r="D223" t="s">
        <v>40</v>
      </c>
      <c r="E223" t="s">
        <v>28</v>
      </c>
      <c r="F223">
        <v>38</v>
      </c>
      <c r="G223" t="s">
        <v>64</v>
      </c>
      <c r="H223">
        <v>17</v>
      </c>
      <c r="I223" t="s">
        <v>65</v>
      </c>
      <c r="J223" t="s">
        <v>113</v>
      </c>
      <c r="K223" t="s">
        <v>283</v>
      </c>
      <c r="L223" t="s">
        <v>46</v>
      </c>
      <c r="M223">
        <v>301981</v>
      </c>
      <c r="N223" t="s">
        <v>96</v>
      </c>
      <c r="O223" t="s">
        <v>57</v>
      </c>
      <c r="P223" t="s">
        <v>169</v>
      </c>
      <c r="Q223" t="s">
        <v>265</v>
      </c>
      <c r="R223" t="s">
        <v>126</v>
      </c>
      <c r="S223" t="str">
        <f t="shared" si="3"/>
        <v>35-44</v>
      </c>
    </row>
    <row r="224" spans="1:19" x14ac:dyDescent="0.3">
      <c r="A224">
        <v>223</v>
      </c>
      <c r="B224" t="s">
        <v>201</v>
      </c>
      <c r="C224" t="s">
        <v>111</v>
      </c>
      <c r="D224" t="s">
        <v>280</v>
      </c>
      <c r="E224" t="s">
        <v>28</v>
      </c>
      <c r="F224">
        <v>34</v>
      </c>
      <c r="G224" t="s">
        <v>194</v>
      </c>
      <c r="H224">
        <v>19</v>
      </c>
      <c r="I224" t="s">
        <v>132</v>
      </c>
      <c r="J224" t="s">
        <v>113</v>
      </c>
      <c r="K224" t="s">
        <v>113</v>
      </c>
      <c r="L224" t="s">
        <v>206</v>
      </c>
      <c r="M224">
        <v>323290</v>
      </c>
      <c r="N224" t="s">
        <v>56</v>
      </c>
      <c r="O224" t="s">
        <v>57</v>
      </c>
      <c r="P224" t="s">
        <v>68</v>
      </c>
      <c r="Q224" t="s">
        <v>69</v>
      </c>
      <c r="R224" t="s">
        <v>126</v>
      </c>
      <c r="S224" t="str">
        <f t="shared" si="3"/>
        <v>25-34</v>
      </c>
    </row>
    <row r="225" spans="1:19" x14ac:dyDescent="0.3">
      <c r="A225">
        <v>224</v>
      </c>
      <c r="B225" t="s">
        <v>135</v>
      </c>
      <c r="C225" t="s">
        <v>146</v>
      </c>
      <c r="D225" t="s">
        <v>92</v>
      </c>
      <c r="E225" t="s">
        <v>51</v>
      </c>
      <c r="F225">
        <v>57</v>
      </c>
      <c r="G225" t="s">
        <v>64</v>
      </c>
      <c r="H225">
        <v>21</v>
      </c>
      <c r="I225" t="s">
        <v>118</v>
      </c>
      <c r="J225" t="s">
        <v>94</v>
      </c>
      <c r="K225" t="s">
        <v>151</v>
      </c>
      <c r="L225" t="s">
        <v>33</v>
      </c>
      <c r="M225">
        <v>33841</v>
      </c>
      <c r="N225" t="s">
        <v>56</v>
      </c>
      <c r="O225" t="s">
        <v>35</v>
      </c>
      <c r="P225" t="s">
        <v>169</v>
      </c>
      <c r="Q225" t="s">
        <v>240</v>
      </c>
      <c r="R225" t="s">
        <v>38</v>
      </c>
      <c r="S225" t="str">
        <f t="shared" si="3"/>
        <v>55-65</v>
      </c>
    </row>
    <row r="226" spans="1:19" x14ac:dyDescent="0.3">
      <c r="A226">
        <v>225</v>
      </c>
      <c r="B226" t="s">
        <v>196</v>
      </c>
      <c r="C226" t="s">
        <v>244</v>
      </c>
      <c r="D226" t="s">
        <v>249</v>
      </c>
      <c r="E226" t="s">
        <v>51</v>
      </c>
      <c r="F226">
        <v>37</v>
      </c>
      <c r="G226" t="s">
        <v>72</v>
      </c>
      <c r="H226">
        <v>22</v>
      </c>
      <c r="I226" t="s">
        <v>73</v>
      </c>
      <c r="J226" t="s">
        <v>44</v>
      </c>
      <c r="K226" t="s">
        <v>255</v>
      </c>
      <c r="L226" t="s">
        <v>33</v>
      </c>
      <c r="M226">
        <v>24978</v>
      </c>
      <c r="N226" t="s">
        <v>96</v>
      </c>
      <c r="O226" t="s">
        <v>35</v>
      </c>
      <c r="P226" t="s">
        <v>58</v>
      </c>
      <c r="Q226" t="s">
        <v>176</v>
      </c>
      <c r="R226" t="s">
        <v>103</v>
      </c>
      <c r="S226" t="str">
        <f t="shared" si="3"/>
        <v>35-44</v>
      </c>
    </row>
    <row r="227" spans="1:19" x14ac:dyDescent="0.3">
      <c r="A227">
        <v>226</v>
      </c>
      <c r="B227" t="s">
        <v>120</v>
      </c>
      <c r="C227" t="s">
        <v>121</v>
      </c>
      <c r="D227" t="s">
        <v>26</v>
      </c>
      <c r="E227" t="s">
        <v>28</v>
      </c>
      <c r="F227">
        <v>18</v>
      </c>
      <c r="G227" t="s">
        <v>72</v>
      </c>
      <c r="H227">
        <v>24</v>
      </c>
      <c r="I227" t="s">
        <v>73</v>
      </c>
      <c r="J227" t="s">
        <v>31</v>
      </c>
      <c r="K227" t="s">
        <v>321</v>
      </c>
      <c r="L227" t="s">
        <v>55</v>
      </c>
      <c r="M227">
        <v>61522</v>
      </c>
      <c r="N227" t="s">
        <v>56</v>
      </c>
      <c r="O227" t="s">
        <v>75</v>
      </c>
      <c r="P227" t="s">
        <v>169</v>
      </c>
      <c r="Q227" t="s">
        <v>192</v>
      </c>
      <c r="R227" t="s">
        <v>83</v>
      </c>
      <c r="S227" t="str">
        <f t="shared" si="3"/>
        <v>18-24</v>
      </c>
    </row>
    <row r="228" spans="1:19" x14ac:dyDescent="0.3">
      <c r="A228">
        <v>227</v>
      </c>
      <c r="B228" t="s">
        <v>322</v>
      </c>
      <c r="C228" t="s">
        <v>131</v>
      </c>
      <c r="D228" t="s">
        <v>26</v>
      </c>
      <c r="E228" t="s">
        <v>28</v>
      </c>
      <c r="F228">
        <v>39</v>
      </c>
      <c r="G228" t="s">
        <v>79</v>
      </c>
      <c r="H228">
        <v>24</v>
      </c>
      <c r="I228" t="s">
        <v>80</v>
      </c>
      <c r="J228" t="s">
        <v>113</v>
      </c>
      <c r="K228" t="s">
        <v>113</v>
      </c>
      <c r="L228" t="s">
        <v>55</v>
      </c>
      <c r="M228">
        <v>185730</v>
      </c>
      <c r="N228" t="s">
        <v>56</v>
      </c>
      <c r="O228" t="s">
        <v>75</v>
      </c>
      <c r="P228" t="s">
        <v>58</v>
      </c>
      <c r="Q228" t="s">
        <v>165</v>
      </c>
      <c r="R228" t="s">
        <v>60</v>
      </c>
      <c r="S228" t="str">
        <f t="shared" si="3"/>
        <v>35-44</v>
      </c>
    </row>
    <row r="229" spans="1:19" x14ac:dyDescent="0.3">
      <c r="A229">
        <v>228</v>
      </c>
      <c r="B229" t="s">
        <v>191</v>
      </c>
      <c r="C229" t="s">
        <v>163</v>
      </c>
      <c r="D229" t="s">
        <v>93</v>
      </c>
      <c r="E229" t="s">
        <v>51</v>
      </c>
      <c r="F229">
        <v>28</v>
      </c>
      <c r="G229" t="s">
        <v>194</v>
      </c>
      <c r="H229">
        <v>16</v>
      </c>
      <c r="I229" t="s">
        <v>132</v>
      </c>
      <c r="J229" t="s">
        <v>164</v>
      </c>
      <c r="K229" t="s">
        <v>209</v>
      </c>
      <c r="L229" t="s">
        <v>33</v>
      </c>
      <c r="M229">
        <v>93015</v>
      </c>
      <c r="N229" t="s">
        <v>56</v>
      </c>
      <c r="O229" t="s">
        <v>75</v>
      </c>
      <c r="P229" t="s">
        <v>76</v>
      </c>
      <c r="Q229" t="s">
        <v>77</v>
      </c>
      <c r="R229" t="s">
        <v>60</v>
      </c>
      <c r="S229" t="str">
        <f t="shared" si="3"/>
        <v>25-34</v>
      </c>
    </row>
    <row r="230" spans="1:19" x14ac:dyDescent="0.3">
      <c r="A230">
        <v>229</v>
      </c>
      <c r="B230" t="s">
        <v>39</v>
      </c>
      <c r="C230" t="s">
        <v>105</v>
      </c>
      <c r="D230" t="s">
        <v>172</v>
      </c>
      <c r="E230" t="s">
        <v>28</v>
      </c>
      <c r="F230">
        <v>41</v>
      </c>
      <c r="G230" t="s">
        <v>194</v>
      </c>
      <c r="H230">
        <v>8</v>
      </c>
      <c r="I230" t="s">
        <v>132</v>
      </c>
      <c r="J230" t="s">
        <v>113</v>
      </c>
      <c r="K230" t="s">
        <v>323</v>
      </c>
      <c r="L230" t="s">
        <v>33</v>
      </c>
      <c r="M230">
        <v>66742</v>
      </c>
      <c r="N230" t="s">
        <v>56</v>
      </c>
      <c r="O230" t="s">
        <v>75</v>
      </c>
      <c r="P230" t="s">
        <v>58</v>
      </c>
      <c r="Q230" t="s">
        <v>176</v>
      </c>
      <c r="R230" t="s">
        <v>103</v>
      </c>
      <c r="S230" t="str">
        <f t="shared" si="3"/>
        <v>35-44</v>
      </c>
    </row>
    <row r="231" spans="1:19" x14ac:dyDescent="0.3">
      <c r="A231">
        <v>230</v>
      </c>
      <c r="B231" t="s">
        <v>148</v>
      </c>
      <c r="C231" t="s">
        <v>143</v>
      </c>
      <c r="D231" t="s">
        <v>136</v>
      </c>
      <c r="E231" t="s">
        <v>28</v>
      </c>
      <c r="F231">
        <v>54</v>
      </c>
      <c r="G231" t="s">
        <v>107</v>
      </c>
      <c r="H231">
        <v>11</v>
      </c>
      <c r="I231" t="s">
        <v>73</v>
      </c>
      <c r="J231" t="s">
        <v>53</v>
      </c>
      <c r="K231" t="s">
        <v>54</v>
      </c>
      <c r="L231" t="s">
        <v>33</v>
      </c>
      <c r="M231">
        <v>178204</v>
      </c>
      <c r="N231" t="s">
        <v>115</v>
      </c>
      <c r="O231" t="s">
        <v>35</v>
      </c>
      <c r="P231" t="s">
        <v>76</v>
      </c>
      <c r="Q231" t="s">
        <v>82</v>
      </c>
      <c r="R231" t="s">
        <v>126</v>
      </c>
      <c r="S231" t="str">
        <f t="shared" si="3"/>
        <v>45-54</v>
      </c>
    </row>
    <row r="232" spans="1:19" x14ac:dyDescent="0.3">
      <c r="A232">
        <v>231</v>
      </c>
      <c r="B232" t="s">
        <v>153</v>
      </c>
      <c r="C232" t="s">
        <v>280</v>
      </c>
      <c r="D232" t="s">
        <v>71</v>
      </c>
      <c r="E232" t="s">
        <v>28</v>
      </c>
      <c r="F232">
        <v>38</v>
      </c>
      <c r="G232" t="s">
        <v>79</v>
      </c>
      <c r="H232">
        <v>25</v>
      </c>
      <c r="I232" t="s">
        <v>80</v>
      </c>
      <c r="J232" t="s">
        <v>164</v>
      </c>
      <c r="K232" t="s">
        <v>284</v>
      </c>
      <c r="L232" t="s">
        <v>55</v>
      </c>
      <c r="M232">
        <v>162577</v>
      </c>
      <c r="N232" t="s">
        <v>115</v>
      </c>
      <c r="O232" t="s">
        <v>57</v>
      </c>
      <c r="P232" t="s">
        <v>101</v>
      </c>
      <c r="Q232" t="s">
        <v>102</v>
      </c>
      <c r="R232" t="s">
        <v>126</v>
      </c>
      <c r="S232" t="str">
        <f t="shared" si="3"/>
        <v>35-44</v>
      </c>
    </row>
    <row r="233" spans="1:19" x14ac:dyDescent="0.3">
      <c r="A233">
        <v>232</v>
      </c>
      <c r="B233" t="s">
        <v>186</v>
      </c>
      <c r="C233" t="s">
        <v>143</v>
      </c>
      <c r="D233" t="s">
        <v>71</v>
      </c>
      <c r="E233" t="s">
        <v>51</v>
      </c>
      <c r="F233">
        <v>64</v>
      </c>
      <c r="G233" t="s">
        <v>87</v>
      </c>
      <c r="H233">
        <v>19</v>
      </c>
      <c r="I233" t="s">
        <v>80</v>
      </c>
      <c r="J233" t="s">
        <v>123</v>
      </c>
      <c r="K233" t="s">
        <v>286</v>
      </c>
      <c r="L233" t="s">
        <v>206</v>
      </c>
      <c r="M233">
        <v>56945</v>
      </c>
      <c r="N233" t="s">
        <v>34</v>
      </c>
      <c r="O233" t="s">
        <v>35</v>
      </c>
      <c r="P233" t="s">
        <v>36</v>
      </c>
      <c r="Q233" t="s">
        <v>161</v>
      </c>
      <c r="R233" t="s">
        <v>126</v>
      </c>
      <c r="S233" t="str">
        <f t="shared" si="3"/>
        <v>55-65</v>
      </c>
    </row>
    <row r="234" spans="1:19" x14ac:dyDescent="0.3">
      <c r="A234">
        <v>233</v>
      </c>
      <c r="B234" t="s">
        <v>324</v>
      </c>
      <c r="C234" t="s">
        <v>181</v>
      </c>
      <c r="D234" t="s">
        <v>105</v>
      </c>
      <c r="E234" t="s">
        <v>51</v>
      </c>
      <c r="F234">
        <v>64</v>
      </c>
      <c r="G234" t="s">
        <v>72</v>
      </c>
      <c r="H234">
        <v>13</v>
      </c>
      <c r="I234" t="s">
        <v>122</v>
      </c>
      <c r="J234" t="s">
        <v>164</v>
      </c>
      <c r="K234" t="s">
        <v>270</v>
      </c>
      <c r="L234" t="s">
        <v>67</v>
      </c>
      <c r="M234">
        <v>75792</v>
      </c>
      <c r="N234" t="s">
        <v>96</v>
      </c>
      <c r="O234" t="s">
        <v>57</v>
      </c>
      <c r="P234" t="s">
        <v>230</v>
      </c>
      <c r="Q234" t="s">
        <v>259</v>
      </c>
      <c r="R234" t="s">
        <v>60</v>
      </c>
      <c r="S234" t="str">
        <f t="shared" si="3"/>
        <v>55-65</v>
      </c>
    </row>
    <row r="235" spans="1:19" x14ac:dyDescent="0.3">
      <c r="A235">
        <v>234</v>
      </c>
      <c r="B235" t="s">
        <v>226</v>
      </c>
      <c r="C235" t="s">
        <v>204</v>
      </c>
      <c r="D235" t="s">
        <v>172</v>
      </c>
      <c r="E235" t="s">
        <v>28</v>
      </c>
      <c r="F235">
        <v>44</v>
      </c>
      <c r="G235" t="s">
        <v>29</v>
      </c>
      <c r="H235">
        <v>29</v>
      </c>
      <c r="I235" t="s">
        <v>52</v>
      </c>
      <c r="J235" t="s">
        <v>164</v>
      </c>
      <c r="K235" t="s">
        <v>209</v>
      </c>
      <c r="L235" t="s">
        <v>33</v>
      </c>
      <c r="M235">
        <v>341221</v>
      </c>
      <c r="N235" t="s">
        <v>56</v>
      </c>
      <c r="O235" t="s">
        <v>35</v>
      </c>
      <c r="P235" t="s">
        <v>76</v>
      </c>
      <c r="Q235" t="s">
        <v>200</v>
      </c>
      <c r="R235" t="s">
        <v>126</v>
      </c>
      <c r="S235" t="str">
        <f t="shared" si="3"/>
        <v>35-44</v>
      </c>
    </row>
    <row r="236" spans="1:19" x14ac:dyDescent="0.3">
      <c r="A236">
        <v>235</v>
      </c>
      <c r="B236" t="s">
        <v>153</v>
      </c>
      <c r="C236" t="s">
        <v>280</v>
      </c>
      <c r="D236" t="s">
        <v>244</v>
      </c>
      <c r="E236" t="s">
        <v>28</v>
      </c>
      <c r="F236">
        <v>33</v>
      </c>
      <c r="G236" t="s">
        <v>150</v>
      </c>
      <c r="H236">
        <v>2</v>
      </c>
      <c r="I236" t="s">
        <v>112</v>
      </c>
      <c r="J236" t="s">
        <v>123</v>
      </c>
      <c r="K236" t="s">
        <v>261</v>
      </c>
      <c r="L236" t="s">
        <v>206</v>
      </c>
      <c r="M236">
        <v>298565</v>
      </c>
      <c r="N236" t="s">
        <v>47</v>
      </c>
      <c r="O236" t="s">
        <v>57</v>
      </c>
      <c r="P236" t="s">
        <v>230</v>
      </c>
      <c r="Q236" t="s">
        <v>231</v>
      </c>
      <c r="R236" t="s">
        <v>103</v>
      </c>
      <c r="S236" t="str">
        <f t="shared" si="3"/>
        <v>25-34</v>
      </c>
    </row>
    <row r="237" spans="1:19" x14ac:dyDescent="0.3">
      <c r="A237">
        <v>236</v>
      </c>
      <c r="B237" t="s">
        <v>193</v>
      </c>
      <c r="C237" t="s">
        <v>280</v>
      </c>
      <c r="D237" t="s">
        <v>183</v>
      </c>
      <c r="E237" t="s">
        <v>51</v>
      </c>
      <c r="F237">
        <v>24</v>
      </c>
      <c r="G237" t="s">
        <v>144</v>
      </c>
      <c r="H237">
        <v>25</v>
      </c>
      <c r="I237" t="s">
        <v>30</v>
      </c>
      <c r="J237" t="s">
        <v>164</v>
      </c>
      <c r="K237" t="s">
        <v>209</v>
      </c>
      <c r="L237" t="s">
        <v>206</v>
      </c>
      <c r="M237">
        <v>61709</v>
      </c>
      <c r="N237" t="s">
        <v>47</v>
      </c>
      <c r="O237" t="s">
        <v>57</v>
      </c>
      <c r="P237" t="s">
        <v>169</v>
      </c>
      <c r="Q237" t="s">
        <v>192</v>
      </c>
      <c r="R237" t="s">
        <v>60</v>
      </c>
      <c r="S237" t="str">
        <f t="shared" si="3"/>
        <v>18-24</v>
      </c>
    </row>
    <row r="238" spans="1:19" x14ac:dyDescent="0.3">
      <c r="A238">
        <v>237</v>
      </c>
      <c r="B238" t="s">
        <v>130</v>
      </c>
      <c r="C238" t="s">
        <v>138</v>
      </c>
      <c r="D238" t="s">
        <v>160</v>
      </c>
      <c r="E238" t="s">
        <v>51</v>
      </c>
      <c r="F238">
        <v>23</v>
      </c>
      <c r="G238" t="s">
        <v>198</v>
      </c>
      <c r="H238">
        <v>9</v>
      </c>
      <c r="I238" t="s">
        <v>199</v>
      </c>
      <c r="J238" t="s">
        <v>164</v>
      </c>
      <c r="K238" t="s">
        <v>164</v>
      </c>
      <c r="L238" t="s">
        <v>46</v>
      </c>
      <c r="M238">
        <v>290103</v>
      </c>
      <c r="N238" t="s">
        <v>34</v>
      </c>
      <c r="O238" t="s">
        <v>35</v>
      </c>
      <c r="P238" t="s">
        <v>169</v>
      </c>
      <c r="Q238" t="s">
        <v>240</v>
      </c>
      <c r="R238" t="s">
        <v>83</v>
      </c>
      <c r="S238" t="str">
        <f t="shared" si="3"/>
        <v>18-24</v>
      </c>
    </row>
    <row r="239" spans="1:19" x14ac:dyDescent="0.3">
      <c r="A239">
        <v>238</v>
      </c>
      <c r="B239" t="s">
        <v>116</v>
      </c>
      <c r="C239" t="s">
        <v>86</v>
      </c>
      <c r="D239" t="s">
        <v>143</v>
      </c>
      <c r="E239" t="s">
        <v>28</v>
      </c>
      <c r="F239">
        <v>61</v>
      </c>
      <c r="G239" t="s">
        <v>87</v>
      </c>
      <c r="H239">
        <v>13</v>
      </c>
      <c r="I239" t="s">
        <v>80</v>
      </c>
      <c r="J239" t="s">
        <v>94</v>
      </c>
      <c r="K239" t="s">
        <v>100</v>
      </c>
      <c r="L239" t="s">
        <v>67</v>
      </c>
      <c r="M239">
        <v>287931</v>
      </c>
      <c r="N239" t="s">
        <v>34</v>
      </c>
      <c r="O239" t="s">
        <v>57</v>
      </c>
      <c r="P239" t="s">
        <v>230</v>
      </c>
      <c r="Q239" t="s">
        <v>231</v>
      </c>
      <c r="R239" t="s">
        <v>103</v>
      </c>
      <c r="S239" t="str">
        <f t="shared" si="3"/>
        <v>55-65</v>
      </c>
    </row>
    <row r="240" spans="1:19" x14ac:dyDescent="0.3">
      <c r="A240">
        <v>239</v>
      </c>
      <c r="B240" t="s">
        <v>307</v>
      </c>
      <c r="C240" t="s">
        <v>71</v>
      </c>
      <c r="D240" t="s">
        <v>273</v>
      </c>
      <c r="E240" t="s">
        <v>28</v>
      </c>
      <c r="F240">
        <v>32</v>
      </c>
      <c r="G240" t="s">
        <v>144</v>
      </c>
      <c r="H240">
        <v>4</v>
      </c>
      <c r="I240" t="s">
        <v>118</v>
      </c>
      <c r="J240" t="s">
        <v>113</v>
      </c>
      <c r="K240" t="s">
        <v>325</v>
      </c>
      <c r="L240" t="s">
        <v>55</v>
      </c>
      <c r="M240">
        <v>289167</v>
      </c>
      <c r="N240" t="s">
        <v>34</v>
      </c>
      <c r="O240" t="s">
        <v>75</v>
      </c>
      <c r="P240" t="s">
        <v>169</v>
      </c>
      <c r="Q240" t="s">
        <v>207</v>
      </c>
      <c r="R240" t="s">
        <v>126</v>
      </c>
      <c r="S240" t="str">
        <f t="shared" si="3"/>
        <v>25-34</v>
      </c>
    </row>
    <row r="241" spans="1:19" x14ac:dyDescent="0.3">
      <c r="A241">
        <v>240</v>
      </c>
      <c r="B241" t="s">
        <v>291</v>
      </c>
      <c r="C241" t="s">
        <v>41</v>
      </c>
      <c r="D241" t="s">
        <v>280</v>
      </c>
      <c r="E241" t="s">
        <v>51</v>
      </c>
      <c r="F241">
        <v>26</v>
      </c>
      <c r="G241" t="s">
        <v>29</v>
      </c>
      <c r="H241">
        <v>29</v>
      </c>
      <c r="I241" t="s">
        <v>52</v>
      </c>
      <c r="J241" t="s">
        <v>44</v>
      </c>
      <c r="K241" t="s">
        <v>88</v>
      </c>
      <c r="L241" t="s">
        <v>206</v>
      </c>
      <c r="M241">
        <v>47272</v>
      </c>
      <c r="N241" t="s">
        <v>34</v>
      </c>
      <c r="O241" t="s">
        <v>35</v>
      </c>
      <c r="P241" t="s">
        <v>101</v>
      </c>
      <c r="Q241" t="s">
        <v>77</v>
      </c>
      <c r="R241" t="s">
        <v>126</v>
      </c>
      <c r="S241" t="str">
        <f t="shared" si="3"/>
        <v>25-34</v>
      </c>
    </row>
    <row r="242" spans="1:19" x14ac:dyDescent="0.3">
      <c r="A242">
        <v>241</v>
      </c>
      <c r="B242" t="s">
        <v>196</v>
      </c>
      <c r="C242" t="s">
        <v>117</v>
      </c>
      <c r="D242" t="s">
        <v>41</v>
      </c>
      <c r="E242" t="s">
        <v>51</v>
      </c>
      <c r="F242">
        <v>40</v>
      </c>
      <c r="G242" t="s">
        <v>139</v>
      </c>
      <c r="H242">
        <v>22</v>
      </c>
      <c r="I242" t="s">
        <v>140</v>
      </c>
      <c r="J242" t="s">
        <v>123</v>
      </c>
      <c r="K242" t="s">
        <v>261</v>
      </c>
      <c r="L242" t="s">
        <v>206</v>
      </c>
      <c r="M242">
        <v>99869</v>
      </c>
      <c r="N242" t="s">
        <v>115</v>
      </c>
      <c r="O242" t="s">
        <v>35</v>
      </c>
      <c r="P242" t="s">
        <v>68</v>
      </c>
      <c r="Q242" t="s">
        <v>173</v>
      </c>
      <c r="R242" t="s">
        <v>126</v>
      </c>
      <c r="S242" t="str">
        <f t="shared" si="3"/>
        <v>35-44</v>
      </c>
    </row>
    <row r="243" spans="1:19" x14ac:dyDescent="0.3">
      <c r="A243">
        <v>242</v>
      </c>
      <c r="B243" t="s">
        <v>256</v>
      </c>
      <c r="C243" t="s">
        <v>117</v>
      </c>
      <c r="D243" t="s">
        <v>136</v>
      </c>
      <c r="E243" t="s">
        <v>28</v>
      </c>
      <c r="F243">
        <v>35</v>
      </c>
      <c r="G243" t="s">
        <v>42</v>
      </c>
      <c r="H243">
        <v>16</v>
      </c>
      <c r="I243" t="s">
        <v>43</v>
      </c>
      <c r="J243" t="s">
        <v>113</v>
      </c>
      <c r="K243" t="s">
        <v>315</v>
      </c>
      <c r="L243" t="s">
        <v>46</v>
      </c>
      <c r="M243">
        <v>149636</v>
      </c>
      <c r="N243" t="s">
        <v>115</v>
      </c>
      <c r="O243" t="s">
        <v>75</v>
      </c>
      <c r="P243" t="s">
        <v>58</v>
      </c>
      <c r="Q243" t="s">
        <v>176</v>
      </c>
      <c r="R243" t="s">
        <v>126</v>
      </c>
      <c r="S243" t="str">
        <f t="shared" si="3"/>
        <v>35-44</v>
      </c>
    </row>
    <row r="244" spans="1:19" x14ac:dyDescent="0.3">
      <c r="A244">
        <v>243</v>
      </c>
      <c r="B244" t="s">
        <v>70</v>
      </c>
      <c r="C244" t="s">
        <v>86</v>
      </c>
      <c r="D244" t="s">
        <v>178</v>
      </c>
      <c r="E244" t="s">
        <v>28</v>
      </c>
      <c r="F244">
        <v>40</v>
      </c>
      <c r="G244" t="s">
        <v>198</v>
      </c>
      <c r="H244">
        <v>18</v>
      </c>
      <c r="I244" t="s">
        <v>199</v>
      </c>
      <c r="J244" t="s">
        <v>164</v>
      </c>
      <c r="K244" t="s">
        <v>253</v>
      </c>
      <c r="L244" t="s">
        <v>55</v>
      </c>
      <c r="M244">
        <v>115954</v>
      </c>
      <c r="N244" t="s">
        <v>115</v>
      </c>
      <c r="O244" t="s">
        <v>35</v>
      </c>
      <c r="P244" t="s">
        <v>217</v>
      </c>
      <c r="Q244" t="s">
        <v>218</v>
      </c>
      <c r="R244" t="s">
        <v>83</v>
      </c>
      <c r="S244" t="str">
        <f t="shared" si="3"/>
        <v>35-44</v>
      </c>
    </row>
    <row r="245" spans="1:19" x14ac:dyDescent="0.3">
      <c r="A245">
        <v>244</v>
      </c>
      <c r="B245" t="s">
        <v>25</v>
      </c>
      <c r="C245" t="s">
        <v>111</v>
      </c>
      <c r="D245" t="s">
        <v>27</v>
      </c>
      <c r="E245" t="s">
        <v>28</v>
      </c>
      <c r="F245">
        <v>40</v>
      </c>
      <c r="G245" t="s">
        <v>194</v>
      </c>
      <c r="H245">
        <v>26</v>
      </c>
      <c r="I245" t="s">
        <v>65</v>
      </c>
      <c r="J245" t="s">
        <v>123</v>
      </c>
      <c r="K245" t="s">
        <v>124</v>
      </c>
      <c r="L245" t="s">
        <v>33</v>
      </c>
      <c r="M245">
        <v>341023</v>
      </c>
      <c r="N245" t="s">
        <v>115</v>
      </c>
      <c r="O245" t="s">
        <v>75</v>
      </c>
      <c r="P245" t="s">
        <v>217</v>
      </c>
      <c r="Q245" t="s">
        <v>220</v>
      </c>
      <c r="R245" t="s">
        <v>38</v>
      </c>
      <c r="S245" t="str">
        <f t="shared" si="3"/>
        <v>35-44</v>
      </c>
    </row>
    <row r="246" spans="1:19" x14ac:dyDescent="0.3">
      <c r="A246">
        <v>245</v>
      </c>
      <c r="B246" t="s">
        <v>61</v>
      </c>
      <c r="C246" t="s">
        <v>26</v>
      </c>
      <c r="D246" t="s">
        <v>149</v>
      </c>
      <c r="E246" t="s">
        <v>51</v>
      </c>
      <c r="F246">
        <v>40</v>
      </c>
      <c r="G246" t="s">
        <v>29</v>
      </c>
      <c r="H246">
        <v>19</v>
      </c>
      <c r="I246" t="s">
        <v>30</v>
      </c>
      <c r="J246" t="s">
        <v>164</v>
      </c>
      <c r="K246" t="s">
        <v>253</v>
      </c>
      <c r="L246" t="s">
        <v>55</v>
      </c>
      <c r="M246">
        <v>86610</v>
      </c>
      <c r="N246" t="s">
        <v>47</v>
      </c>
      <c r="O246" t="s">
        <v>75</v>
      </c>
      <c r="P246" t="s">
        <v>169</v>
      </c>
      <c r="Q246" t="s">
        <v>207</v>
      </c>
      <c r="R246" t="s">
        <v>60</v>
      </c>
      <c r="S246" t="str">
        <f t="shared" si="3"/>
        <v>35-44</v>
      </c>
    </row>
    <row r="247" spans="1:19" x14ac:dyDescent="0.3">
      <c r="A247">
        <v>246</v>
      </c>
      <c r="B247" t="s">
        <v>282</v>
      </c>
      <c r="C247" t="s">
        <v>85</v>
      </c>
      <c r="D247" t="s">
        <v>50</v>
      </c>
      <c r="E247" t="s">
        <v>51</v>
      </c>
      <c r="F247">
        <v>49</v>
      </c>
      <c r="G247" t="s">
        <v>150</v>
      </c>
      <c r="H247">
        <v>31</v>
      </c>
      <c r="I247" t="s">
        <v>122</v>
      </c>
      <c r="J247" t="s">
        <v>31</v>
      </c>
      <c r="K247" t="s">
        <v>252</v>
      </c>
      <c r="L247" t="s">
        <v>33</v>
      </c>
      <c r="M247">
        <v>65567</v>
      </c>
      <c r="N247" t="s">
        <v>34</v>
      </c>
      <c r="O247" t="s">
        <v>35</v>
      </c>
      <c r="P247" t="s">
        <v>36</v>
      </c>
      <c r="Q247" t="s">
        <v>234</v>
      </c>
      <c r="R247" t="s">
        <v>38</v>
      </c>
      <c r="S247" t="str">
        <f t="shared" si="3"/>
        <v>45-54</v>
      </c>
    </row>
    <row r="248" spans="1:19" x14ac:dyDescent="0.3">
      <c r="A248">
        <v>247</v>
      </c>
      <c r="B248" t="s">
        <v>25</v>
      </c>
      <c r="C248" t="s">
        <v>224</v>
      </c>
      <c r="D248" t="s">
        <v>236</v>
      </c>
      <c r="E248" t="s">
        <v>28</v>
      </c>
      <c r="F248">
        <v>26</v>
      </c>
      <c r="G248" t="s">
        <v>194</v>
      </c>
      <c r="H248">
        <v>11</v>
      </c>
      <c r="I248" t="s">
        <v>132</v>
      </c>
      <c r="J248" t="s">
        <v>94</v>
      </c>
      <c r="K248" t="s">
        <v>210</v>
      </c>
      <c r="L248" t="s">
        <v>55</v>
      </c>
      <c r="M248">
        <v>321979</v>
      </c>
      <c r="N248" t="s">
        <v>34</v>
      </c>
      <c r="O248" t="s">
        <v>35</v>
      </c>
      <c r="P248" t="s">
        <v>76</v>
      </c>
      <c r="Q248" t="s">
        <v>77</v>
      </c>
      <c r="R248" t="s">
        <v>38</v>
      </c>
      <c r="S248" t="str">
        <f t="shared" si="3"/>
        <v>25-34</v>
      </c>
    </row>
    <row r="249" spans="1:19" x14ac:dyDescent="0.3">
      <c r="A249">
        <v>248</v>
      </c>
      <c r="B249" t="s">
        <v>197</v>
      </c>
      <c r="C249" t="s">
        <v>224</v>
      </c>
      <c r="D249" t="s">
        <v>93</v>
      </c>
      <c r="E249" t="s">
        <v>28</v>
      </c>
      <c r="F249">
        <v>43</v>
      </c>
      <c r="G249" t="s">
        <v>64</v>
      </c>
      <c r="H249">
        <v>12</v>
      </c>
      <c r="I249" t="s">
        <v>65</v>
      </c>
      <c r="J249" t="s">
        <v>44</v>
      </c>
      <c r="K249" t="s">
        <v>45</v>
      </c>
      <c r="L249" t="s">
        <v>55</v>
      </c>
      <c r="M249">
        <v>121114</v>
      </c>
      <c r="N249" t="s">
        <v>115</v>
      </c>
      <c r="O249" t="s">
        <v>35</v>
      </c>
      <c r="P249" t="s">
        <v>217</v>
      </c>
      <c r="Q249" t="s">
        <v>303</v>
      </c>
      <c r="R249" t="s">
        <v>103</v>
      </c>
      <c r="S249" t="str">
        <f t="shared" si="3"/>
        <v>35-44</v>
      </c>
    </row>
    <row r="250" spans="1:19" x14ac:dyDescent="0.3">
      <c r="A250">
        <v>249</v>
      </c>
      <c r="B250" t="s">
        <v>203</v>
      </c>
      <c r="C250" t="s">
        <v>175</v>
      </c>
      <c r="D250" t="s">
        <v>86</v>
      </c>
      <c r="E250" t="s">
        <v>51</v>
      </c>
      <c r="F250">
        <v>32</v>
      </c>
      <c r="G250" t="s">
        <v>42</v>
      </c>
      <c r="H250">
        <v>23</v>
      </c>
      <c r="I250" t="s">
        <v>112</v>
      </c>
      <c r="J250" t="s">
        <v>94</v>
      </c>
      <c r="K250" t="s">
        <v>306</v>
      </c>
      <c r="L250" t="s">
        <v>55</v>
      </c>
      <c r="M250">
        <v>135543</v>
      </c>
      <c r="N250" t="s">
        <v>115</v>
      </c>
      <c r="O250" t="s">
        <v>35</v>
      </c>
      <c r="P250" t="s">
        <v>217</v>
      </c>
      <c r="Q250" t="s">
        <v>220</v>
      </c>
      <c r="R250" t="s">
        <v>60</v>
      </c>
      <c r="S250" t="str">
        <f t="shared" si="3"/>
        <v>25-34</v>
      </c>
    </row>
    <row r="251" spans="1:19" x14ac:dyDescent="0.3">
      <c r="A251">
        <v>250</v>
      </c>
      <c r="B251" t="s">
        <v>282</v>
      </c>
      <c r="C251" t="s">
        <v>172</v>
      </c>
      <c r="D251" t="s">
        <v>175</v>
      </c>
      <c r="E251" t="s">
        <v>51</v>
      </c>
      <c r="F251">
        <v>32</v>
      </c>
      <c r="G251" t="s">
        <v>150</v>
      </c>
      <c r="H251">
        <v>11</v>
      </c>
      <c r="I251" t="s">
        <v>112</v>
      </c>
      <c r="J251" t="s">
        <v>164</v>
      </c>
      <c r="K251" t="s">
        <v>209</v>
      </c>
      <c r="L251" t="s">
        <v>67</v>
      </c>
      <c r="M251">
        <v>328157</v>
      </c>
      <c r="N251" t="s">
        <v>47</v>
      </c>
      <c r="O251" t="s">
        <v>75</v>
      </c>
      <c r="P251" t="s">
        <v>217</v>
      </c>
      <c r="Q251" t="s">
        <v>303</v>
      </c>
      <c r="R251" t="s">
        <v>60</v>
      </c>
      <c r="S251" t="str">
        <f t="shared" si="3"/>
        <v>25-34</v>
      </c>
    </row>
    <row r="252" spans="1:19" x14ac:dyDescent="0.3">
      <c r="A252">
        <v>251</v>
      </c>
      <c r="B252" t="s">
        <v>214</v>
      </c>
      <c r="C252" t="s">
        <v>187</v>
      </c>
      <c r="D252" t="s">
        <v>66</v>
      </c>
      <c r="E252" t="s">
        <v>28</v>
      </c>
      <c r="F252">
        <v>46</v>
      </c>
      <c r="G252" t="s">
        <v>72</v>
      </c>
      <c r="H252">
        <v>29</v>
      </c>
      <c r="I252" t="s">
        <v>73</v>
      </c>
      <c r="J252" t="s">
        <v>113</v>
      </c>
      <c r="K252" t="s">
        <v>114</v>
      </c>
      <c r="L252" t="s">
        <v>33</v>
      </c>
      <c r="M252">
        <v>77341</v>
      </c>
      <c r="N252" t="s">
        <v>47</v>
      </c>
      <c r="O252" t="s">
        <v>57</v>
      </c>
      <c r="P252" t="s">
        <v>97</v>
      </c>
      <c r="Q252" t="s">
        <v>243</v>
      </c>
      <c r="R252" t="s">
        <v>60</v>
      </c>
      <c r="S252" t="str">
        <f t="shared" si="3"/>
        <v>45-54</v>
      </c>
    </row>
    <row r="253" spans="1:19" x14ac:dyDescent="0.3">
      <c r="A253">
        <v>252</v>
      </c>
      <c r="B253" t="s">
        <v>277</v>
      </c>
      <c r="C253" t="s">
        <v>63</v>
      </c>
      <c r="D253" t="s">
        <v>138</v>
      </c>
      <c r="E253" t="s">
        <v>28</v>
      </c>
      <c r="F253">
        <v>44</v>
      </c>
      <c r="G253" t="s">
        <v>107</v>
      </c>
      <c r="H253">
        <v>14</v>
      </c>
      <c r="I253" t="s">
        <v>73</v>
      </c>
      <c r="J253" t="s">
        <v>31</v>
      </c>
      <c r="K253" t="s">
        <v>158</v>
      </c>
      <c r="L253" t="s">
        <v>206</v>
      </c>
      <c r="M253">
        <v>126175</v>
      </c>
      <c r="N253" t="s">
        <v>34</v>
      </c>
      <c r="O253" t="s">
        <v>57</v>
      </c>
      <c r="P253" t="s">
        <v>89</v>
      </c>
      <c r="Q253" t="s">
        <v>225</v>
      </c>
      <c r="R253" t="s">
        <v>126</v>
      </c>
      <c r="S253" t="str">
        <f t="shared" si="3"/>
        <v>35-44</v>
      </c>
    </row>
    <row r="254" spans="1:19" x14ac:dyDescent="0.3">
      <c r="A254">
        <v>253</v>
      </c>
      <c r="B254" t="s">
        <v>78</v>
      </c>
      <c r="C254" t="s">
        <v>138</v>
      </c>
      <c r="D254" t="s">
        <v>280</v>
      </c>
      <c r="E254" t="s">
        <v>28</v>
      </c>
      <c r="F254">
        <v>34</v>
      </c>
      <c r="G254" t="s">
        <v>194</v>
      </c>
      <c r="H254">
        <v>10</v>
      </c>
      <c r="I254" t="s">
        <v>132</v>
      </c>
      <c r="J254" t="s">
        <v>113</v>
      </c>
      <c r="K254" t="s">
        <v>114</v>
      </c>
      <c r="L254" t="s">
        <v>206</v>
      </c>
      <c r="M254">
        <v>122924</v>
      </c>
      <c r="N254" t="s">
        <v>115</v>
      </c>
      <c r="O254" t="s">
        <v>75</v>
      </c>
      <c r="P254" t="s">
        <v>101</v>
      </c>
      <c r="Q254" t="s">
        <v>129</v>
      </c>
      <c r="R254" t="s">
        <v>60</v>
      </c>
      <c r="S254" t="str">
        <f t="shared" si="3"/>
        <v>25-34</v>
      </c>
    </row>
    <row r="255" spans="1:19" x14ac:dyDescent="0.3">
      <c r="A255">
        <v>254</v>
      </c>
      <c r="B255" t="s">
        <v>287</v>
      </c>
      <c r="C255" t="s">
        <v>40</v>
      </c>
      <c r="D255" t="s">
        <v>211</v>
      </c>
      <c r="E255" t="s">
        <v>28</v>
      </c>
      <c r="F255">
        <v>59</v>
      </c>
      <c r="G255" t="s">
        <v>198</v>
      </c>
      <c r="H255">
        <v>23</v>
      </c>
      <c r="I255" t="s">
        <v>43</v>
      </c>
      <c r="J255" t="s">
        <v>113</v>
      </c>
      <c r="K255" t="s">
        <v>239</v>
      </c>
      <c r="L255" t="s">
        <v>67</v>
      </c>
      <c r="M255">
        <v>311965</v>
      </c>
      <c r="N255" t="s">
        <v>34</v>
      </c>
      <c r="O255" t="s">
        <v>35</v>
      </c>
      <c r="P255" t="s">
        <v>169</v>
      </c>
      <c r="Q255" t="s">
        <v>170</v>
      </c>
      <c r="R255" t="s">
        <v>83</v>
      </c>
      <c r="S255" t="str">
        <f t="shared" si="3"/>
        <v>55-65</v>
      </c>
    </row>
    <row r="256" spans="1:19" x14ac:dyDescent="0.3">
      <c r="A256">
        <v>255</v>
      </c>
      <c r="B256" t="s">
        <v>177</v>
      </c>
      <c r="C256" t="s">
        <v>136</v>
      </c>
      <c r="D256" t="s">
        <v>146</v>
      </c>
      <c r="E256" t="s">
        <v>28</v>
      </c>
      <c r="F256">
        <v>34</v>
      </c>
      <c r="G256" t="s">
        <v>42</v>
      </c>
      <c r="H256">
        <v>24</v>
      </c>
      <c r="I256" t="s">
        <v>112</v>
      </c>
      <c r="J256" t="s">
        <v>44</v>
      </c>
      <c r="K256" t="s">
        <v>81</v>
      </c>
      <c r="L256" t="s">
        <v>33</v>
      </c>
      <c r="M256">
        <v>86954</v>
      </c>
      <c r="N256" t="s">
        <v>96</v>
      </c>
      <c r="O256" t="s">
        <v>75</v>
      </c>
      <c r="P256" t="s">
        <v>230</v>
      </c>
      <c r="Q256" t="s">
        <v>231</v>
      </c>
      <c r="R256" t="s">
        <v>126</v>
      </c>
      <c r="S256" t="str">
        <f t="shared" si="3"/>
        <v>25-34</v>
      </c>
    </row>
    <row r="257" spans="1:19" x14ac:dyDescent="0.3">
      <c r="A257">
        <v>256</v>
      </c>
      <c r="B257" t="s">
        <v>304</v>
      </c>
      <c r="C257" t="s">
        <v>149</v>
      </c>
      <c r="D257" t="s">
        <v>93</v>
      </c>
      <c r="E257" t="s">
        <v>51</v>
      </c>
      <c r="F257">
        <v>60</v>
      </c>
      <c r="G257" t="s">
        <v>194</v>
      </c>
      <c r="H257">
        <v>14</v>
      </c>
      <c r="I257" t="s">
        <v>132</v>
      </c>
      <c r="J257" t="s">
        <v>113</v>
      </c>
      <c r="K257" t="s">
        <v>290</v>
      </c>
      <c r="L257" t="s">
        <v>33</v>
      </c>
      <c r="M257">
        <v>73888</v>
      </c>
      <c r="N257" t="s">
        <v>115</v>
      </c>
      <c r="O257" t="s">
        <v>35</v>
      </c>
      <c r="P257" t="s">
        <v>217</v>
      </c>
      <c r="Q257" t="s">
        <v>326</v>
      </c>
      <c r="R257" t="s">
        <v>83</v>
      </c>
      <c r="S257" t="str">
        <f t="shared" si="3"/>
        <v>55-65</v>
      </c>
    </row>
    <row r="258" spans="1:19" x14ac:dyDescent="0.3">
      <c r="A258">
        <v>257</v>
      </c>
      <c r="B258" t="s">
        <v>201</v>
      </c>
      <c r="C258" t="s">
        <v>62</v>
      </c>
      <c r="D258" t="s">
        <v>160</v>
      </c>
      <c r="E258" t="s">
        <v>28</v>
      </c>
      <c r="F258">
        <v>23</v>
      </c>
      <c r="G258" t="s">
        <v>139</v>
      </c>
      <c r="H258">
        <v>16</v>
      </c>
      <c r="I258" t="s">
        <v>140</v>
      </c>
      <c r="J258" t="s">
        <v>123</v>
      </c>
      <c r="K258" t="s">
        <v>327</v>
      </c>
      <c r="L258" t="s">
        <v>206</v>
      </c>
      <c r="M258">
        <v>68784</v>
      </c>
      <c r="N258" t="s">
        <v>47</v>
      </c>
      <c r="O258" t="s">
        <v>35</v>
      </c>
      <c r="P258" t="s">
        <v>36</v>
      </c>
      <c r="Q258" t="s">
        <v>48</v>
      </c>
      <c r="R258" t="s">
        <v>103</v>
      </c>
      <c r="S258" t="str">
        <f t="shared" ref="S258:S321" si="4">IF(F258&lt;25,"18-24",IF(F258&lt;35,"25-34",IF(F258&lt;45,"35-44",IF(F258&lt;55,"45-54","55-65"))))</f>
        <v>18-24</v>
      </c>
    </row>
    <row r="259" spans="1:19" x14ac:dyDescent="0.3">
      <c r="A259">
        <v>258</v>
      </c>
      <c r="B259" t="s">
        <v>162</v>
      </c>
      <c r="C259" t="s">
        <v>138</v>
      </c>
      <c r="D259" t="s">
        <v>71</v>
      </c>
      <c r="E259" t="s">
        <v>28</v>
      </c>
      <c r="F259">
        <v>54</v>
      </c>
      <c r="G259" t="s">
        <v>79</v>
      </c>
      <c r="H259">
        <v>8</v>
      </c>
      <c r="I259" t="s">
        <v>52</v>
      </c>
      <c r="J259" t="s">
        <v>164</v>
      </c>
      <c r="K259" t="s">
        <v>284</v>
      </c>
      <c r="L259" t="s">
        <v>33</v>
      </c>
      <c r="M259">
        <v>264521</v>
      </c>
      <c r="N259" t="s">
        <v>34</v>
      </c>
      <c r="O259" t="s">
        <v>75</v>
      </c>
      <c r="P259" t="s">
        <v>97</v>
      </c>
      <c r="Q259" t="s">
        <v>180</v>
      </c>
      <c r="R259" t="s">
        <v>83</v>
      </c>
      <c r="S259" t="str">
        <f t="shared" si="4"/>
        <v>45-54</v>
      </c>
    </row>
    <row r="260" spans="1:19" x14ac:dyDescent="0.3">
      <c r="A260">
        <v>259</v>
      </c>
      <c r="B260" t="s">
        <v>91</v>
      </c>
      <c r="C260" t="s">
        <v>128</v>
      </c>
      <c r="D260" t="s">
        <v>167</v>
      </c>
      <c r="E260" t="s">
        <v>51</v>
      </c>
      <c r="F260">
        <v>44</v>
      </c>
      <c r="G260" t="s">
        <v>194</v>
      </c>
      <c r="H260">
        <v>27</v>
      </c>
      <c r="I260" t="s">
        <v>65</v>
      </c>
      <c r="J260" t="s">
        <v>123</v>
      </c>
      <c r="K260" t="s">
        <v>124</v>
      </c>
      <c r="L260" t="s">
        <v>67</v>
      </c>
      <c r="M260">
        <v>202586</v>
      </c>
      <c r="N260" t="s">
        <v>96</v>
      </c>
      <c r="O260" t="s">
        <v>57</v>
      </c>
      <c r="P260" t="s">
        <v>36</v>
      </c>
      <c r="Q260" t="s">
        <v>48</v>
      </c>
      <c r="R260" t="s">
        <v>60</v>
      </c>
      <c r="S260" t="str">
        <f t="shared" si="4"/>
        <v>35-44</v>
      </c>
    </row>
    <row r="261" spans="1:19" x14ac:dyDescent="0.3">
      <c r="A261">
        <v>260</v>
      </c>
      <c r="B261" t="s">
        <v>254</v>
      </c>
      <c r="C261" t="s">
        <v>163</v>
      </c>
      <c r="D261" t="s">
        <v>85</v>
      </c>
      <c r="E261" t="s">
        <v>51</v>
      </c>
      <c r="F261">
        <v>57</v>
      </c>
      <c r="G261" t="s">
        <v>42</v>
      </c>
      <c r="H261">
        <v>26</v>
      </c>
      <c r="I261" t="s">
        <v>112</v>
      </c>
      <c r="J261" t="s">
        <v>94</v>
      </c>
      <c r="K261" t="s">
        <v>227</v>
      </c>
      <c r="L261" t="s">
        <v>206</v>
      </c>
      <c r="M261">
        <v>332493</v>
      </c>
      <c r="N261" t="s">
        <v>115</v>
      </c>
      <c r="O261" t="s">
        <v>35</v>
      </c>
      <c r="P261" t="s">
        <v>169</v>
      </c>
      <c r="Q261" t="s">
        <v>192</v>
      </c>
      <c r="R261" t="s">
        <v>38</v>
      </c>
      <c r="S261" t="str">
        <f t="shared" si="4"/>
        <v>55-65</v>
      </c>
    </row>
    <row r="262" spans="1:19" x14ac:dyDescent="0.3">
      <c r="A262">
        <v>261</v>
      </c>
      <c r="B262" t="s">
        <v>296</v>
      </c>
      <c r="C262" t="s">
        <v>172</v>
      </c>
      <c r="D262" t="s">
        <v>221</v>
      </c>
      <c r="E262" t="s">
        <v>28</v>
      </c>
      <c r="F262">
        <v>58</v>
      </c>
      <c r="G262" t="s">
        <v>64</v>
      </c>
      <c r="H262">
        <v>22</v>
      </c>
      <c r="I262" t="s">
        <v>118</v>
      </c>
      <c r="J262" t="s">
        <v>123</v>
      </c>
      <c r="K262" t="s">
        <v>286</v>
      </c>
      <c r="L262" t="s">
        <v>33</v>
      </c>
      <c r="M262">
        <v>93971</v>
      </c>
      <c r="N262" t="s">
        <v>34</v>
      </c>
      <c r="O262" t="s">
        <v>57</v>
      </c>
      <c r="P262" t="s">
        <v>169</v>
      </c>
      <c r="Q262" t="s">
        <v>170</v>
      </c>
      <c r="R262" t="s">
        <v>126</v>
      </c>
      <c r="S262" t="str">
        <f t="shared" si="4"/>
        <v>55-65</v>
      </c>
    </row>
    <row r="263" spans="1:19" x14ac:dyDescent="0.3">
      <c r="A263">
        <v>262</v>
      </c>
      <c r="B263" t="s">
        <v>289</v>
      </c>
      <c r="C263" t="s">
        <v>187</v>
      </c>
      <c r="D263" t="s">
        <v>27</v>
      </c>
      <c r="E263" t="s">
        <v>51</v>
      </c>
      <c r="F263">
        <v>62</v>
      </c>
      <c r="G263" t="s">
        <v>42</v>
      </c>
      <c r="H263">
        <v>15</v>
      </c>
      <c r="I263" t="s">
        <v>43</v>
      </c>
      <c r="J263" t="s">
        <v>164</v>
      </c>
      <c r="K263" t="s">
        <v>164</v>
      </c>
      <c r="L263" t="s">
        <v>206</v>
      </c>
      <c r="M263">
        <v>185284</v>
      </c>
      <c r="N263" t="s">
        <v>34</v>
      </c>
      <c r="O263" t="s">
        <v>57</v>
      </c>
      <c r="P263" t="s">
        <v>217</v>
      </c>
      <c r="Q263" t="s">
        <v>218</v>
      </c>
      <c r="R263" t="s">
        <v>38</v>
      </c>
      <c r="S263" t="str">
        <f t="shared" si="4"/>
        <v>55-65</v>
      </c>
    </row>
    <row r="264" spans="1:19" x14ac:dyDescent="0.3">
      <c r="A264">
        <v>263</v>
      </c>
      <c r="B264" t="s">
        <v>297</v>
      </c>
      <c r="C264" t="s">
        <v>244</v>
      </c>
      <c r="D264" t="s">
        <v>244</v>
      </c>
      <c r="E264" t="s">
        <v>28</v>
      </c>
      <c r="F264">
        <v>36</v>
      </c>
      <c r="G264" t="s">
        <v>64</v>
      </c>
      <c r="H264">
        <v>4</v>
      </c>
      <c r="I264" t="s">
        <v>65</v>
      </c>
      <c r="J264" t="s">
        <v>94</v>
      </c>
      <c r="K264" t="s">
        <v>268</v>
      </c>
      <c r="L264" t="s">
        <v>55</v>
      </c>
      <c r="M264">
        <v>307873</v>
      </c>
      <c r="N264" t="s">
        <v>96</v>
      </c>
      <c r="O264" t="s">
        <v>75</v>
      </c>
      <c r="P264" t="s">
        <v>36</v>
      </c>
      <c r="Q264" t="s">
        <v>234</v>
      </c>
      <c r="R264" t="s">
        <v>103</v>
      </c>
      <c r="S264" t="str">
        <f t="shared" si="4"/>
        <v>35-44</v>
      </c>
    </row>
    <row r="265" spans="1:19" x14ac:dyDescent="0.3">
      <c r="A265">
        <v>264</v>
      </c>
      <c r="B265" t="s">
        <v>254</v>
      </c>
      <c r="C265" t="s">
        <v>175</v>
      </c>
      <c r="D265" t="s">
        <v>27</v>
      </c>
      <c r="E265" t="s">
        <v>51</v>
      </c>
      <c r="F265">
        <v>61</v>
      </c>
      <c r="G265" t="s">
        <v>139</v>
      </c>
      <c r="H265">
        <v>5</v>
      </c>
      <c r="I265" t="s">
        <v>140</v>
      </c>
      <c r="J265" t="s">
        <v>94</v>
      </c>
      <c r="K265" t="s">
        <v>133</v>
      </c>
      <c r="L265" t="s">
        <v>55</v>
      </c>
      <c r="M265">
        <v>141548</v>
      </c>
      <c r="N265" t="s">
        <v>115</v>
      </c>
      <c r="O265" t="s">
        <v>35</v>
      </c>
      <c r="P265" t="s">
        <v>58</v>
      </c>
      <c r="Q265" t="s">
        <v>59</v>
      </c>
      <c r="R265" t="s">
        <v>103</v>
      </c>
      <c r="S265" t="str">
        <f t="shared" si="4"/>
        <v>55-65</v>
      </c>
    </row>
    <row r="266" spans="1:19" x14ac:dyDescent="0.3">
      <c r="A266">
        <v>265</v>
      </c>
      <c r="B266" t="s">
        <v>328</v>
      </c>
      <c r="C266" t="s">
        <v>41</v>
      </c>
      <c r="D266" t="s">
        <v>181</v>
      </c>
      <c r="E266" t="s">
        <v>51</v>
      </c>
      <c r="F266">
        <v>62</v>
      </c>
      <c r="G266" t="s">
        <v>79</v>
      </c>
      <c r="H266">
        <v>10</v>
      </c>
      <c r="I266" t="s">
        <v>52</v>
      </c>
      <c r="J266" t="s">
        <v>53</v>
      </c>
      <c r="K266" t="s">
        <v>141</v>
      </c>
      <c r="L266" t="s">
        <v>206</v>
      </c>
      <c r="M266">
        <v>51363</v>
      </c>
      <c r="N266" t="s">
        <v>47</v>
      </c>
      <c r="O266" t="s">
        <v>57</v>
      </c>
      <c r="P266" t="s">
        <v>101</v>
      </c>
      <c r="Q266" t="s">
        <v>125</v>
      </c>
      <c r="R266" t="s">
        <v>103</v>
      </c>
      <c r="S266" t="str">
        <f t="shared" si="4"/>
        <v>55-65</v>
      </c>
    </row>
    <row r="267" spans="1:19" x14ac:dyDescent="0.3">
      <c r="A267">
        <v>266</v>
      </c>
      <c r="B267" t="s">
        <v>177</v>
      </c>
      <c r="C267" t="s">
        <v>138</v>
      </c>
      <c r="D267" t="s">
        <v>157</v>
      </c>
      <c r="E267" t="s">
        <v>28</v>
      </c>
      <c r="F267">
        <v>41</v>
      </c>
      <c r="G267" t="s">
        <v>139</v>
      </c>
      <c r="H267">
        <v>24</v>
      </c>
      <c r="I267" t="s">
        <v>199</v>
      </c>
      <c r="J267" t="s">
        <v>123</v>
      </c>
      <c r="K267" t="s">
        <v>124</v>
      </c>
      <c r="L267" t="s">
        <v>33</v>
      </c>
      <c r="M267">
        <v>278064</v>
      </c>
      <c r="N267" t="s">
        <v>47</v>
      </c>
      <c r="O267" t="s">
        <v>75</v>
      </c>
      <c r="P267" t="s">
        <v>97</v>
      </c>
      <c r="Q267" t="s">
        <v>152</v>
      </c>
      <c r="R267" t="s">
        <v>126</v>
      </c>
      <c r="S267" t="str">
        <f t="shared" si="4"/>
        <v>35-44</v>
      </c>
    </row>
    <row r="268" spans="1:19" x14ac:dyDescent="0.3">
      <c r="A268">
        <v>267</v>
      </c>
      <c r="B268" t="s">
        <v>171</v>
      </c>
      <c r="C268" t="s">
        <v>111</v>
      </c>
      <c r="D268" t="s">
        <v>224</v>
      </c>
      <c r="E268" t="s">
        <v>51</v>
      </c>
      <c r="F268">
        <v>30</v>
      </c>
      <c r="G268" t="s">
        <v>150</v>
      </c>
      <c r="H268">
        <v>1</v>
      </c>
      <c r="I268" t="s">
        <v>112</v>
      </c>
      <c r="J268" t="s">
        <v>31</v>
      </c>
      <c r="K268" t="s">
        <v>312</v>
      </c>
      <c r="L268" t="s">
        <v>33</v>
      </c>
      <c r="M268">
        <v>16410</v>
      </c>
      <c r="N268" t="s">
        <v>47</v>
      </c>
      <c r="O268" t="s">
        <v>75</v>
      </c>
      <c r="P268" t="s">
        <v>97</v>
      </c>
      <c r="Q268" t="s">
        <v>180</v>
      </c>
      <c r="R268" t="s">
        <v>38</v>
      </c>
      <c r="S268" t="str">
        <f t="shared" si="4"/>
        <v>25-34</v>
      </c>
    </row>
    <row r="269" spans="1:19" x14ac:dyDescent="0.3">
      <c r="A269">
        <v>268</v>
      </c>
      <c r="B269" t="s">
        <v>328</v>
      </c>
      <c r="C269" t="s">
        <v>71</v>
      </c>
      <c r="D269" t="s">
        <v>163</v>
      </c>
      <c r="E269" t="s">
        <v>51</v>
      </c>
      <c r="F269">
        <v>33</v>
      </c>
      <c r="G269" t="s">
        <v>139</v>
      </c>
      <c r="H269">
        <v>21</v>
      </c>
      <c r="I269" t="s">
        <v>140</v>
      </c>
      <c r="J269" t="s">
        <v>113</v>
      </c>
      <c r="K269" t="s">
        <v>113</v>
      </c>
      <c r="L269" t="s">
        <v>67</v>
      </c>
      <c r="M269">
        <v>209945</v>
      </c>
      <c r="N269" t="s">
        <v>96</v>
      </c>
      <c r="O269" t="s">
        <v>75</v>
      </c>
      <c r="P269" t="s">
        <v>76</v>
      </c>
      <c r="Q269" t="s">
        <v>200</v>
      </c>
      <c r="R269" t="s">
        <v>126</v>
      </c>
      <c r="S269" t="str">
        <f t="shared" si="4"/>
        <v>25-34</v>
      </c>
    </row>
    <row r="270" spans="1:19" x14ac:dyDescent="0.3">
      <c r="A270">
        <v>269</v>
      </c>
      <c r="B270" t="s">
        <v>274</v>
      </c>
      <c r="C270" t="s">
        <v>66</v>
      </c>
      <c r="D270" t="s">
        <v>154</v>
      </c>
      <c r="E270" t="s">
        <v>51</v>
      </c>
      <c r="F270">
        <v>36</v>
      </c>
      <c r="G270" t="s">
        <v>107</v>
      </c>
      <c r="H270">
        <v>27</v>
      </c>
      <c r="I270" t="s">
        <v>132</v>
      </c>
      <c r="J270" t="s">
        <v>44</v>
      </c>
      <c r="K270" t="s">
        <v>255</v>
      </c>
      <c r="L270" t="s">
        <v>46</v>
      </c>
      <c r="M270">
        <v>22130</v>
      </c>
      <c r="N270" t="s">
        <v>115</v>
      </c>
      <c r="O270" t="s">
        <v>35</v>
      </c>
      <c r="P270" t="s">
        <v>97</v>
      </c>
      <c r="Q270" t="s">
        <v>278</v>
      </c>
      <c r="R270" t="s">
        <v>38</v>
      </c>
      <c r="S270" t="str">
        <f t="shared" si="4"/>
        <v>35-44</v>
      </c>
    </row>
    <row r="271" spans="1:19" x14ac:dyDescent="0.3">
      <c r="A271">
        <v>270</v>
      </c>
      <c r="B271" t="s">
        <v>226</v>
      </c>
      <c r="C271" t="s">
        <v>215</v>
      </c>
      <c r="D271" t="s">
        <v>136</v>
      </c>
      <c r="E271" t="s">
        <v>28</v>
      </c>
      <c r="F271">
        <v>18</v>
      </c>
      <c r="G271" t="s">
        <v>42</v>
      </c>
      <c r="H271">
        <v>1</v>
      </c>
      <c r="I271" t="s">
        <v>43</v>
      </c>
      <c r="J271" t="s">
        <v>164</v>
      </c>
      <c r="K271" t="s">
        <v>270</v>
      </c>
      <c r="L271" t="s">
        <v>46</v>
      </c>
      <c r="M271">
        <v>228343</v>
      </c>
      <c r="N271" t="s">
        <v>34</v>
      </c>
      <c r="O271" t="s">
        <v>35</v>
      </c>
      <c r="P271" t="s">
        <v>89</v>
      </c>
      <c r="Q271" t="s">
        <v>90</v>
      </c>
      <c r="R271" t="s">
        <v>83</v>
      </c>
      <c r="S271" t="str">
        <f t="shared" si="4"/>
        <v>18-24</v>
      </c>
    </row>
    <row r="272" spans="1:19" x14ac:dyDescent="0.3">
      <c r="A272">
        <v>271</v>
      </c>
      <c r="B272" t="s">
        <v>295</v>
      </c>
      <c r="C272" t="s">
        <v>221</v>
      </c>
      <c r="D272" t="s">
        <v>63</v>
      </c>
      <c r="E272" t="s">
        <v>51</v>
      </c>
      <c r="F272">
        <v>47</v>
      </c>
      <c r="G272" t="s">
        <v>87</v>
      </c>
      <c r="H272">
        <v>15</v>
      </c>
      <c r="I272" t="s">
        <v>80</v>
      </c>
      <c r="J272" t="s">
        <v>53</v>
      </c>
      <c r="K272" t="s">
        <v>280</v>
      </c>
      <c r="L272" t="s">
        <v>206</v>
      </c>
      <c r="M272">
        <v>289387</v>
      </c>
      <c r="N272" t="s">
        <v>56</v>
      </c>
      <c r="O272" t="s">
        <v>35</v>
      </c>
      <c r="P272" t="s">
        <v>230</v>
      </c>
      <c r="Q272" t="s">
        <v>250</v>
      </c>
      <c r="R272" t="s">
        <v>60</v>
      </c>
      <c r="S272" t="str">
        <f t="shared" si="4"/>
        <v>45-54</v>
      </c>
    </row>
    <row r="273" spans="1:19" x14ac:dyDescent="0.3">
      <c r="A273">
        <v>272</v>
      </c>
      <c r="B273" t="s">
        <v>289</v>
      </c>
      <c r="C273" t="s">
        <v>215</v>
      </c>
      <c r="D273" t="s">
        <v>40</v>
      </c>
      <c r="E273" t="s">
        <v>51</v>
      </c>
      <c r="F273">
        <v>48</v>
      </c>
      <c r="G273" t="s">
        <v>150</v>
      </c>
      <c r="H273">
        <v>10</v>
      </c>
      <c r="I273" t="s">
        <v>112</v>
      </c>
      <c r="J273" t="s">
        <v>53</v>
      </c>
      <c r="K273" t="s">
        <v>54</v>
      </c>
      <c r="L273" t="s">
        <v>55</v>
      </c>
      <c r="M273">
        <v>345985</v>
      </c>
      <c r="N273" t="s">
        <v>47</v>
      </c>
      <c r="O273" t="s">
        <v>57</v>
      </c>
      <c r="P273" t="s">
        <v>101</v>
      </c>
      <c r="Q273" t="s">
        <v>77</v>
      </c>
      <c r="R273" t="s">
        <v>83</v>
      </c>
      <c r="S273" t="str">
        <f t="shared" si="4"/>
        <v>45-54</v>
      </c>
    </row>
    <row r="274" spans="1:19" x14ac:dyDescent="0.3">
      <c r="A274">
        <v>273</v>
      </c>
      <c r="B274" t="s">
        <v>238</v>
      </c>
      <c r="C274" t="s">
        <v>224</v>
      </c>
      <c r="D274" t="s">
        <v>142</v>
      </c>
      <c r="E274" t="s">
        <v>28</v>
      </c>
      <c r="F274">
        <v>60</v>
      </c>
      <c r="G274" t="s">
        <v>29</v>
      </c>
      <c r="H274">
        <v>29</v>
      </c>
      <c r="I274" t="s">
        <v>52</v>
      </c>
      <c r="J274" t="s">
        <v>113</v>
      </c>
      <c r="K274" t="s">
        <v>310</v>
      </c>
      <c r="L274" t="s">
        <v>206</v>
      </c>
      <c r="M274">
        <v>253843</v>
      </c>
      <c r="N274" t="s">
        <v>47</v>
      </c>
      <c r="O274" t="s">
        <v>57</v>
      </c>
      <c r="P274" t="s">
        <v>76</v>
      </c>
      <c r="Q274" t="s">
        <v>77</v>
      </c>
      <c r="R274" t="s">
        <v>103</v>
      </c>
      <c r="S274" t="str">
        <f t="shared" si="4"/>
        <v>55-65</v>
      </c>
    </row>
    <row r="275" spans="1:19" x14ac:dyDescent="0.3">
      <c r="A275">
        <v>274</v>
      </c>
      <c r="B275" t="s">
        <v>99</v>
      </c>
      <c r="C275" t="s">
        <v>26</v>
      </c>
      <c r="D275" t="s">
        <v>172</v>
      </c>
      <c r="E275" t="s">
        <v>51</v>
      </c>
      <c r="F275">
        <v>39</v>
      </c>
      <c r="G275" t="s">
        <v>150</v>
      </c>
      <c r="H275">
        <v>23</v>
      </c>
      <c r="I275" t="s">
        <v>122</v>
      </c>
      <c r="J275" t="s">
        <v>94</v>
      </c>
      <c r="K275" t="s">
        <v>210</v>
      </c>
      <c r="L275" t="s">
        <v>206</v>
      </c>
      <c r="M275">
        <v>225218</v>
      </c>
      <c r="N275" t="s">
        <v>47</v>
      </c>
      <c r="O275" t="s">
        <v>75</v>
      </c>
      <c r="P275" t="s">
        <v>68</v>
      </c>
      <c r="Q275" t="s">
        <v>267</v>
      </c>
      <c r="R275" t="s">
        <v>83</v>
      </c>
      <c r="S275" t="str">
        <f t="shared" si="4"/>
        <v>35-44</v>
      </c>
    </row>
    <row r="276" spans="1:19" x14ac:dyDescent="0.3">
      <c r="A276">
        <v>275</v>
      </c>
      <c r="B276" t="s">
        <v>159</v>
      </c>
      <c r="C276" t="s">
        <v>175</v>
      </c>
      <c r="D276" t="s">
        <v>260</v>
      </c>
      <c r="E276" t="s">
        <v>28</v>
      </c>
      <c r="F276">
        <v>34</v>
      </c>
      <c r="G276" t="s">
        <v>64</v>
      </c>
      <c r="H276">
        <v>16</v>
      </c>
      <c r="I276" t="s">
        <v>65</v>
      </c>
      <c r="J276" t="s">
        <v>31</v>
      </c>
      <c r="K276" t="s">
        <v>32</v>
      </c>
      <c r="L276" t="s">
        <v>55</v>
      </c>
      <c r="M276">
        <v>331689</v>
      </c>
      <c r="N276" t="s">
        <v>34</v>
      </c>
      <c r="O276" t="s">
        <v>35</v>
      </c>
      <c r="P276" t="s">
        <v>36</v>
      </c>
      <c r="Q276" t="s">
        <v>161</v>
      </c>
      <c r="R276" t="s">
        <v>83</v>
      </c>
      <c r="S276" t="str">
        <f t="shared" si="4"/>
        <v>25-34</v>
      </c>
    </row>
    <row r="277" spans="1:19" x14ac:dyDescent="0.3">
      <c r="A277">
        <v>276</v>
      </c>
      <c r="B277" t="s">
        <v>120</v>
      </c>
      <c r="C277" t="s">
        <v>136</v>
      </c>
      <c r="D277" t="s">
        <v>181</v>
      </c>
      <c r="E277" t="s">
        <v>28</v>
      </c>
      <c r="F277">
        <v>47</v>
      </c>
      <c r="G277" t="s">
        <v>87</v>
      </c>
      <c r="H277">
        <v>9</v>
      </c>
      <c r="I277" t="s">
        <v>80</v>
      </c>
      <c r="J277" t="s">
        <v>94</v>
      </c>
      <c r="K277" t="s">
        <v>190</v>
      </c>
      <c r="L277" t="s">
        <v>46</v>
      </c>
      <c r="M277">
        <v>23519</v>
      </c>
      <c r="N277" t="s">
        <v>56</v>
      </c>
      <c r="O277" t="s">
        <v>75</v>
      </c>
      <c r="P277" t="s">
        <v>101</v>
      </c>
      <c r="Q277" t="s">
        <v>82</v>
      </c>
      <c r="R277" t="s">
        <v>60</v>
      </c>
      <c r="S277" t="str">
        <f t="shared" si="4"/>
        <v>45-54</v>
      </c>
    </row>
    <row r="278" spans="1:19" x14ac:dyDescent="0.3">
      <c r="A278">
        <v>277</v>
      </c>
      <c r="B278" t="s">
        <v>329</v>
      </c>
      <c r="C278" t="s">
        <v>163</v>
      </c>
      <c r="D278" t="s">
        <v>62</v>
      </c>
      <c r="E278" t="s">
        <v>51</v>
      </c>
      <c r="F278">
        <v>44</v>
      </c>
      <c r="G278" t="s">
        <v>72</v>
      </c>
      <c r="H278">
        <v>13</v>
      </c>
      <c r="I278" t="s">
        <v>122</v>
      </c>
      <c r="J278" t="s">
        <v>94</v>
      </c>
      <c r="K278" t="s">
        <v>190</v>
      </c>
      <c r="L278" t="s">
        <v>67</v>
      </c>
      <c r="M278">
        <v>52391</v>
      </c>
      <c r="N278" t="s">
        <v>47</v>
      </c>
      <c r="O278" t="s">
        <v>57</v>
      </c>
      <c r="P278" t="s">
        <v>97</v>
      </c>
      <c r="Q278" t="s">
        <v>180</v>
      </c>
      <c r="R278" t="s">
        <v>126</v>
      </c>
      <c r="S278" t="str">
        <f t="shared" si="4"/>
        <v>35-44</v>
      </c>
    </row>
    <row r="279" spans="1:19" x14ac:dyDescent="0.3">
      <c r="A279">
        <v>278</v>
      </c>
      <c r="B279" t="s">
        <v>304</v>
      </c>
      <c r="C279" t="s">
        <v>187</v>
      </c>
      <c r="D279" t="s">
        <v>86</v>
      </c>
      <c r="E279" t="s">
        <v>51</v>
      </c>
      <c r="F279">
        <v>39</v>
      </c>
      <c r="G279" t="s">
        <v>144</v>
      </c>
      <c r="H279">
        <v>25</v>
      </c>
      <c r="I279" t="s">
        <v>30</v>
      </c>
      <c r="J279" t="s">
        <v>113</v>
      </c>
      <c r="K279" t="s">
        <v>323</v>
      </c>
      <c r="L279" t="s">
        <v>33</v>
      </c>
      <c r="M279">
        <v>223902</v>
      </c>
      <c r="N279" t="s">
        <v>96</v>
      </c>
      <c r="O279" t="s">
        <v>57</v>
      </c>
      <c r="P279" t="s">
        <v>169</v>
      </c>
      <c r="Q279" t="s">
        <v>240</v>
      </c>
      <c r="R279" t="s">
        <v>38</v>
      </c>
      <c r="S279" t="str">
        <f t="shared" si="4"/>
        <v>35-44</v>
      </c>
    </row>
    <row r="280" spans="1:19" x14ac:dyDescent="0.3">
      <c r="A280">
        <v>279</v>
      </c>
      <c r="B280" t="s">
        <v>297</v>
      </c>
      <c r="C280" t="s">
        <v>142</v>
      </c>
      <c r="D280" t="s">
        <v>66</v>
      </c>
      <c r="E280" t="s">
        <v>28</v>
      </c>
      <c r="F280">
        <v>26</v>
      </c>
      <c r="G280" t="s">
        <v>198</v>
      </c>
      <c r="H280">
        <v>26</v>
      </c>
      <c r="I280" t="s">
        <v>43</v>
      </c>
      <c r="J280" t="s">
        <v>164</v>
      </c>
      <c r="K280" t="s">
        <v>164</v>
      </c>
      <c r="L280" t="s">
        <v>206</v>
      </c>
      <c r="M280">
        <v>223553</v>
      </c>
      <c r="N280" t="s">
        <v>96</v>
      </c>
      <c r="O280" t="s">
        <v>57</v>
      </c>
      <c r="P280" t="s">
        <v>217</v>
      </c>
      <c r="Q280" t="s">
        <v>326</v>
      </c>
      <c r="R280" t="s">
        <v>103</v>
      </c>
      <c r="S280" t="str">
        <f t="shared" si="4"/>
        <v>25-34</v>
      </c>
    </row>
    <row r="281" spans="1:19" x14ac:dyDescent="0.3">
      <c r="A281">
        <v>280</v>
      </c>
      <c r="B281" t="s">
        <v>264</v>
      </c>
      <c r="C281" t="s">
        <v>110</v>
      </c>
      <c r="D281" t="s">
        <v>183</v>
      </c>
      <c r="E281" t="s">
        <v>28</v>
      </c>
      <c r="F281">
        <v>51</v>
      </c>
      <c r="G281" t="s">
        <v>107</v>
      </c>
      <c r="H281">
        <v>12</v>
      </c>
      <c r="I281" t="s">
        <v>73</v>
      </c>
      <c r="J281" t="s">
        <v>113</v>
      </c>
      <c r="K281" t="s">
        <v>114</v>
      </c>
      <c r="L281" t="s">
        <v>67</v>
      </c>
      <c r="M281">
        <v>238478</v>
      </c>
      <c r="N281" t="s">
        <v>115</v>
      </c>
      <c r="O281" t="s">
        <v>75</v>
      </c>
      <c r="P281" t="s">
        <v>68</v>
      </c>
      <c r="Q281" t="s">
        <v>69</v>
      </c>
      <c r="R281" t="s">
        <v>83</v>
      </c>
      <c r="S281" t="str">
        <f t="shared" si="4"/>
        <v>45-54</v>
      </c>
    </row>
    <row r="282" spans="1:19" x14ac:dyDescent="0.3">
      <c r="A282">
        <v>281</v>
      </c>
      <c r="B282" t="s">
        <v>171</v>
      </c>
      <c r="C282" t="s">
        <v>273</v>
      </c>
      <c r="D282" t="s">
        <v>63</v>
      </c>
      <c r="E282" t="s">
        <v>51</v>
      </c>
      <c r="F282">
        <v>22</v>
      </c>
      <c r="G282" t="s">
        <v>42</v>
      </c>
      <c r="H282">
        <v>19</v>
      </c>
      <c r="I282" t="s">
        <v>43</v>
      </c>
      <c r="J282" t="s">
        <v>53</v>
      </c>
      <c r="K282" t="s">
        <v>74</v>
      </c>
      <c r="L282" t="s">
        <v>206</v>
      </c>
      <c r="M282">
        <v>332220</v>
      </c>
      <c r="N282" t="s">
        <v>56</v>
      </c>
      <c r="O282" t="s">
        <v>75</v>
      </c>
      <c r="P282" t="s">
        <v>97</v>
      </c>
      <c r="Q282" t="s">
        <v>243</v>
      </c>
      <c r="R282" t="s">
        <v>126</v>
      </c>
      <c r="S282" t="str">
        <f t="shared" si="4"/>
        <v>18-24</v>
      </c>
    </row>
    <row r="283" spans="1:19" x14ac:dyDescent="0.3">
      <c r="A283">
        <v>282</v>
      </c>
      <c r="B283" t="s">
        <v>135</v>
      </c>
      <c r="C283" t="s">
        <v>189</v>
      </c>
      <c r="D283" t="s">
        <v>131</v>
      </c>
      <c r="E283" t="s">
        <v>51</v>
      </c>
      <c r="F283">
        <v>30</v>
      </c>
      <c r="G283" t="s">
        <v>87</v>
      </c>
      <c r="H283">
        <v>29</v>
      </c>
      <c r="I283" t="s">
        <v>140</v>
      </c>
      <c r="J283" t="s">
        <v>123</v>
      </c>
      <c r="K283" t="s">
        <v>262</v>
      </c>
      <c r="L283" t="s">
        <v>67</v>
      </c>
      <c r="M283">
        <v>11598</v>
      </c>
      <c r="N283" t="s">
        <v>115</v>
      </c>
      <c r="O283" t="s">
        <v>35</v>
      </c>
      <c r="P283" t="s">
        <v>169</v>
      </c>
      <c r="Q283" t="s">
        <v>265</v>
      </c>
      <c r="R283" t="s">
        <v>60</v>
      </c>
      <c r="S283" t="str">
        <f t="shared" si="4"/>
        <v>25-34</v>
      </c>
    </row>
    <row r="284" spans="1:19" x14ac:dyDescent="0.3">
      <c r="A284">
        <v>283</v>
      </c>
      <c r="B284" t="s">
        <v>197</v>
      </c>
      <c r="C284" t="s">
        <v>93</v>
      </c>
      <c r="D284" t="s">
        <v>86</v>
      </c>
      <c r="E284" t="s">
        <v>28</v>
      </c>
      <c r="F284">
        <v>58</v>
      </c>
      <c r="G284" t="s">
        <v>72</v>
      </c>
      <c r="H284">
        <v>26</v>
      </c>
      <c r="I284" t="s">
        <v>73</v>
      </c>
      <c r="J284" t="s">
        <v>113</v>
      </c>
      <c r="K284" t="s">
        <v>310</v>
      </c>
      <c r="L284" t="s">
        <v>46</v>
      </c>
      <c r="M284">
        <v>219981</v>
      </c>
      <c r="N284" t="s">
        <v>34</v>
      </c>
      <c r="O284" t="s">
        <v>75</v>
      </c>
      <c r="P284" t="s">
        <v>230</v>
      </c>
      <c r="Q284" t="s">
        <v>250</v>
      </c>
      <c r="R284" t="s">
        <v>60</v>
      </c>
      <c r="S284" t="str">
        <f t="shared" si="4"/>
        <v>55-65</v>
      </c>
    </row>
    <row r="285" spans="1:19" x14ac:dyDescent="0.3">
      <c r="A285">
        <v>284</v>
      </c>
      <c r="B285" t="s">
        <v>277</v>
      </c>
      <c r="C285" t="s">
        <v>146</v>
      </c>
      <c r="D285" t="s">
        <v>62</v>
      </c>
      <c r="E285" t="s">
        <v>28</v>
      </c>
      <c r="F285">
        <v>53</v>
      </c>
      <c r="G285" t="s">
        <v>139</v>
      </c>
      <c r="H285">
        <v>15</v>
      </c>
      <c r="I285" t="s">
        <v>140</v>
      </c>
      <c r="J285" t="s">
        <v>123</v>
      </c>
      <c r="K285" t="s">
        <v>245</v>
      </c>
      <c r="L285" t="s">
        <v>67</v>
      </c>
      <c r="M285">
        <v>247145</v>
      </c>
      <c r="N285" t="s">
        <v>34</v>
      </c>
      <c r="O285" t="s">
        <v>57</v>
      </c>
      <c r="P285" t="s">
        <v>230</v>
      </c>
      <c r="Q285" t="s">
        <v>251</v>
      </c>
      <c r="R285" t="s">
        <v>103</v>
      </c>
      <c r="S285" t="str">
        <f t="shared" si="4"/>
        <v>45-54</v>
      </c>
    </row>
    <row r="286" spans="1:19" x14ac:dyDescent="0.3">
      <c r="A286">
        <v>285</v>
      </c>
      <c r="B286" t="s">
        <v>309</v>
      </c>
      <c r="C286" t="s">
        <v>27</v>
      </c>
      <c r="D286" t="s">
        <v>211</v>
      </c>
      <c r="E286" t="s">
        <v>28</v>
      </c>
      <c r="F286">
        <v>24</v>
      </c>
      <c r="G286" t="s">
        <v>150</v>
      </c>
      <c r="H286">
        <v>23</v>
      </c>
      <c r="I286" t="s">
        <v>122</v>
      </c>
      <c r="J286" t="s">
        <v>31</v>
      </c>
      <c r="K286" t="s">
        <v>205</v>
      </c>
      <c r="L286" t="s">
        <v>33</v>
      </c>
      <c r="M286">
        <v>45618</v>
      </c>
      <c r="N286" t="s">
        <v>34</v>
      </c>
      <c r="O286" t="s">
        <v>57</v>
      </c>
      <c r="P286" t="s">
        <v>36</v>
      </c>
      <c r="Q286" t="s">
        <v>185</v>
      </c>
      <c r="R286" t="s">
        <v>38</v>
      </c>
      <c r="S286" t="str">
        <f t="shared" si="4"/>
        <v>18-24</v>
      </c>
    </row>
    <row r="287" spans="1:19" x14ac:dyDescent="0.3">
      <c r="A287">
        <v>286</v>
      </c>
      <c r="B287" t="s">
        <v>162</v>
      </c>
      <c r="C287" t="s">
        <v>224</v>
      </c>
      <c r="D287" t="s">
        <v>183</v>
      </c>
      <c r="E287" t="s">
        <v>28</v>
      </c>
      <c r="F287">
        <v>28</v>
      </c>
      <c r="G287" t="s">
        <v>87</v>
      </c>
      <c r="H287">
        <v>23</v>
      </c>
      <c r="I287" t="s">
        <v>140</v>
      </c>
      <c r="J287" t="s">
        <v>123</v>
      </c>
      <c r="K287" t="s">
        <v>327</v>
      </c>
      <c r="L287" t="s">
        <v>67</v>
      </c>
      <c r="M287">
        <v>176242</v>
      </c>
      <c r="N287" t="s">
        <v>96</v>
      </c>
      <c r="O287" t="s">
        <v>57</v>
      </c>
      <c r="P287" t="s">
        <v>97</v>
      </c>
      <c r="Q287" t="s">
        <v>152</v>
      </c>
      <c r="R287" t="s">
        <v>38</v>
      </c>
      <c r="S287" t="str">
        <f t="shared" si="4"/>
        <v>25-34</v>
      </c>
    </row>
    <row r="288" spans="1:19" x14ac:dyDescent="0.3">
      <c r="A288">
        <v>287</v>
      </c>
      <c r="B288" t="s">
        <v>317</v>
      </c>
      <c r="C288" t="s">
        <v>121</v>
      </c>
      <c r="D288" t="s">
        <v>204</v>
      </c>
      <c r="E288" t="s">
        <v>28</v>
      </c>
      <c r="F288">
        <v>49</v>
      </c>
      <c r="G288" t="s">
        <v>64</v>
      </c>
      <c r="H288">
        <v>27</v>
      </c>
      <c r="I288" t="s">
        <v>118</v>
      </c>
      <c r="J288" t="s">
        <v>94</v>
      </c>
      <c r="K288" t="s">
        <v>227</v>
      </c>
      <c r="L288" t="s">
        <v>33</v>
      </c>
      <c r="M288">
        <v>273937</v>
      </c>
      <c r="N288" t="s">
        <v>34</v>
      </c>
      <c r="O288" t="s">
        <v>57</v>
      </c>
      <c r="P288" t="s">
        <v>169</v>
      </c>
      <c r="Q288" t="s">
        <v>192</v>
      </c>
      <c r="R288" t="s">
        <v>38</v>
      </c>
      <c r="S288" t="str">
        <f t="shared" si="4"/>
        <v>45-54</v>
      </c>
    </row>
    <row r="289" spans="1:19" x14ac:dyDescent="0.3">
      <c r="A289">
        <v>288</v>
      </c>
      <c r="B289" t="s">
        <v>246</v>
      </c>
      <c r="C289" t="s">
        <v>154</v>
      </c>
      <c r="D289" t="s">
        <v>71</v>
      </c>
      <c r="E289" t="s">
        <v>51</v>
      </c>
      <c r="F289">
        <v>20</v>
      </c>
      <c r="G289" t="s">
        <v>194</v>
      </c>
      <c r="H289">
        <v>4</v>
      </c>
      <c r="I289" t="s">
        <v>132</v>
      </c>
      <c r="J289" t="s">
        <v>164</v>
      </c>
      <c r="K289" t="s">
        <v>179</v>
      </c>
      <c r="L289" t="s">
        <v>55</v>
      </c>
      <c r="M289">
        <v>281551</v>
      </c>
      <c r="N289" t="s">
        <v>96</v>
      </c>
      <c r="O289" t="s">
        <v>75</v>
      </c>
      <c r="P289" t="s">
        <v>230</v>
      </c>
      <c r="Q289" t="s">
        <v>231</v>
      </c>
      <c r="R289" t="s">
        <v>60</v>
      </c>
      <c r="S289" t="str">
        <f t="shared" si="4"/>
        <v>18-24</v>
      </c>
    </row>
    <row r="290" spans="1:19" x14ac:dyDescent="0.3">
      <c r="A290">
        <v>289</v>
      </c>
      <c r="B290" t="s">
        <v>264</v>
      </c>
      <c r="C290" t="s">
        <v>105</v>
      </c>
      <c r="D290" t="s">
        <v>131</v>
      </c>
      <c r="E290" t="s">
        <v>28</v>
      </c>
      <c r="F290">
        <v>40</v>
      </c>
      <c r="G290" t="s">
        <v>72</v>
      </c>
      <c r="H290">
        <v>21</v>
      </c>
      <c r="I290" t="s">
        <v>122</v>
      </c>
      <c r="J290" t="s">
        <v>31</v>
      </c>
      <c r="K290" t="s">
        <v>301</v>
      </c>
      <c r="L290" t="s">
        <v>33</v>
      </c>
      <c r="M290">
        <v>97567</v>
      </c>
      <c r="N290" t="s">
        <v>47</v>
      </c>
      <c r="O290" t="s">
        <v>57</v>
      </c>
      <c r="P290" t="s">
        <v>89</v>
      </c>
      <c r="Q290" t="s">
        <v>119</v>
      </c>
      <c r="R290" t="s">
        <v>38</v>
      </c>
      <c r="S290" t="str">
        <f t="shared" si="4"/>
        <v>35-44</v>
      </c>
    </row>
    <row r="291" spans="1:19" x14ac:dyDescent="0.3">
      <c r="A291">
        <v>290</v>
      </c>
      <c r="B291" t="s">
        <v>153</v>
      </c>
      <c r="C291" t="s">
        <v>92</v>
      </c>
      <c r="D291" t="s">
        <v>71</v>
      </c>
      <c r="E291" t="s">
        <v>28</v>
      </c>
      <c r="F291">
        <v>44</v>
      </c>
      <c r="G291" t="s">
        <v>79</v>
      </c>
      <c r="H291">
        <v>27</v>
      </c>
      <c r="I291" t="s">
        <v>80</v>
      </c>
      <c r="J291" t="s">
        <v>123</v>
      </c>
      <c r="K291" t="s">
        <v>145</v>
      </c>
      <c r="L291" t="s">
        <v>33</v>
      </c>
      <c r="M291">
        <v>50716</v>
      </c>
      <c r="N291" t="s">
        <v>115</v>
      </c>
      <c r="O291" t="s">
        <v>35</v>
      </c>
      <c r="P291" t="s">
        <v>169</v>
      </c>
      <c r="Q291" t="s">
        <v>192</v>
      </c>
      <c r="R291" t="s">
        <v>103</v>
      </c>
      <c r="S291" t="str">
        <f t="shared" si="4"/>
        <v>35-44</v>
      </c>
    </row>
    <row r="292" spans="1:19" x14ac:dyDescent="0.3">
      <c r="A292">
        <v>291</v>
      </c>
      <c r="B292" t="s">
        <v>282</v>
      </c>
      <c r="C292" t="s">
        <v>189</v>
      </c>
      <c r="D292" t="s">
        <v>138</v>
      </c>
      <c r="E292" t="s">
        <v>51</v>
      </c>
      <c r="F292">
        <v>57</v>
      </c>
      <c r="G292" t="s">
        <v>144</v>
      </c>
      <c r="H292">
        <v>20</v>
      </c>
      <c r="I292" t="s">
        <v>118</v>
      </c>
      <c r="J292" t="s">
        <v>123</v>
      </c>
      <c r="K292" t="s">
        <v>262</v>
      </c>
      <c r="L292" t="s">
        <v>206</v>
      </c>
      <c r="M292">
        <v>171662</v>
      </c>
      <c r="N292" t="s">
        <v>34</v>
      </c>
      <c r="O292" t="s">
        <v>57</v>
      </c>
      <c r="P292" t="s">
        <v>97</v>
      </c>
      <c r="Q292" t="s">
        <v>180</v>
      </c>
      <c r="R292" t="s">
        <v>103</v>
      </c>
      <c r="S292" t="str">
        <f t="shared" si="4"/>
        <v>55-65</v>
      </c>
    </row>
    <row r="293" spans="1:19" x14ac:dyDescent="0.3">
      <c r="A293">
        <v>292</v>
      </c>
      <c r="B293" t="s">
        <v>156</v>
      </c>
      <c r="C293" t="s">
        <v>154</v>
      </c>
      <c r="D293" t="s">
        <v>215</v>
      </c>
      <c r="E293" t="s">
        <v>28</v>
      </c>
      <c r="F293">
        <v>51</v>
      </c>
      <c r="G293" t="s">
        <v>87</v>
      </c>
      <c r="H293">
        <v>1</v>
      </c>
      <c r="I293" t="s">
        <v>80</v>
      </c>
      <c r="J293" t="s">
        <v>44</v>
      </c>
      <c r="K293" t="s">
        <v>45</v>
      </c>
      <c r="L293" t="s">
        <v>55</v>
      </c>
      <c r="M293">
        <v>82275</v>
      </c>
      <c r="N293" t="s">
        <v>56</v>
      </c>
      <c r="O293" t="s">
        <v>75</v>
      </c>
      <c r="P293" t="s">
        <v>217</v>
      </c>
      <c r="Q293" t="s">
        <v>218</v>
      </c>
      <c r="R293" t="s">
        <v>126</v>
      </c>
      <c r="S293" t="str">
        <f t="shared" si="4"/>
        <v>45-54</v>
      </c>
    </row>
    <row r="294" spans="1:19" x14ac:dyDescent="0.3">
      <c r="A294">
        <v>293</v>
      </c>
      <c r="B294" t="s">
        <v>302</v>
      </c>
      <c r="C294" t="s">
        <v>121</v>
      </c>
      <c r="D294" t="s">
        <v>106</v>
      </c>
      <c r="E294" t="s">
        <v>28</v>
      </c>
      <c r="F294">
        <v>27</v>
      </c>
      <c r="G294" t="s">
        <v>29</v>
      </c>
      <c r="H294">
        <v>16</v>
      </c>
      <c r="I294" t="s">
        <v>30</v>
      </c>
      <c r="J294" t="s">
        <v>53</v>
      </c>
      <c r="K294" t="s">
        <v>213</v>
      </c>
      <c r="L294" t="s">
        <v>67</v>
      </c>
      <c r="M294">
        <v>23825</v>
      </c>
      <c r="N294" t="s">
        <v>56</v>
      </c>
      <c r="O294" t="s">
        <v>57</v>
      </c>
      <c r="P294" t="s">
        <v>36</v>
      </c>
      <c r="Q294" t="s">
        <v>185</v>
      </c>
      <c r="R294" t="s">
        <v>103</v>
      </c>
      <c r="S294" t="str">
        <f t="shared" si="4"/>
        <v>25-34</v>
      </c>
    </row>
    <row r="295" spans="1:19" x14ac:dyDescent="0.3">
      <c r="A295">
        <v>294</v>
      </c>
      <c r="B295" t="s">
        <v>156</v>
      </c>
      <c r="C295" t="s">
        <v>142</v>
      </c>
      <c r="D295" t="s">
        <v>117</v>
      </c>
      <c r="E295" t="s">
        <v>28</v>
      </c>
      <c r="F295">
        <v>21</v>
      </c>
      <c r="G295" t="s">
        <v>87</v>
      </c>
      <c r="H295">
        <v>8</v>
      </c>
      <c r="I295" t="s">
        <v>80</v>
      </c>
      <c r="J295" t="s">
        <v>53</v>
      </c>
      <c r="K295" t="s">
        <v>188</v>
      </c>
      <c r="L295" t="s">
        <v>206</v>
      </c>
      <c r="M295">
        <v>194921</v>
      </c>
      <c r="N295" t="s">
        <v>96</v>
      </c>
      <c r="O295" t="s">
        <v>35</v>
      </c>
      <c r="P295" t="s">
        <v>36</v>
      </c>
      <c r="Q295" t="s">
        <v>161</v>
      </c>
      <c r="R295" t="s">
        <v>60</v>
      </c>
      <c r="S295" t="str">
        <f t="shared" si="4"/>
        <v>18-24</v>
      </c>
    </row>
    <row r="296" spans="1:19" x14ac:dyDescent="0.3">
      <c r="A296">
        <v>295</v>
      </c>
      <c r="B296" t="s">
        <v>241</v>
      </c>
      <c r="C296" t="s">
        <v>85</v>
      </c>
      <c r="D296" t="s">
        <v>138</v>
      </c>
      <c r="E296" t="s">
        <v>51</v>
      </c>
      <c r="F296">
        <v>38</v>
      </c>
      <c r="G296" t="s">
        <v>64</v>
      </c>
      <c r="H296">
        <v>28</v>
      </c>
      <c r="I296" t="s">
        <v>118</v>
      </c>
      <c r="J296" t="s">
        <v>123</v>
      </c>
      <c r="K296" t="s">
        <v>145</v>
      </c>
      <c r="L296" t="s">
        <v>33</v>
      </c>
      <c r="M296">
        <v>262107</v>
      </c>
      <c r="N296" t="s">
        <v>34</v>
      </c>
      <c r="O296" t="s">
        <v>57</v>
      </c>
      <c r="P296" t="s">
        <v>101</v>
      </c>
      <c r="Q296" t="s">
        <v>82</v>
      </c>
      <c r="R296" t="s">
        <v>103</v>
      </c>
      <c r="S296" t="str">
        <f t="shared" si="4"/>
        <v>35-44</v>
      </c>
    </row>
    <row r="297" spans="1:19" x14ac:dyDescent="0.3">
      <c r="A297">
        <v>296</v>
      </c>
      <c r="B297" t="s">
        <v>159</v>
      </c>
      <c r="C297" t="s">
        <v>167</v>
      </c>
      <c r="D297" t="s">
        <v>105</v>
      </c>
      <c r="E297" t="s">
        <v>28</v>
      </c>
      <c r="F297">
        <v>58</v>
      </c>
      <c r="G297" t="s">
        <v>64</v>
      </c>
      <c r="H297">
        <v>26</v>
      </c>
      <c r="I297" t="s">
        <v>118</v>
      </c>
      <c r="J297" t="s">
        <v>94</v>
      </c>
      <c r="K297" t="s">
        <v>133</v>
      </c>
      <c r="L297" t="s">
        <v>206</v>
      </c>
      <c r="M297">
        <v>199005</v>
      </c>
      <c r="N297" t="s">
        <v>47</v>
      </c>
      <c r="O297" t="s">
        <v>57</v>
      </c>
      <c r="P297" t="s">
        <v>230</v>
      </c>
      <c r="Q297" t="s">
        <v>250</v>
      </c>
      <c r="R297" t="s">
        <v>60</v>
      </c>
      <c r="S297" t="str">
        <f t="shared" si="4"/>
        <v>55-65</v>
      </c>
    </row>
    <row r="298" spans="1:19" x14ac:dyDescent="0.3">
      <c r="A298">
        <v>297</v>
      </c>
      <c r="B298" t="s">
        <v>104</v>
      </c>
      <c r="C298" t="s">
        <v>181</v>
      </c>
      <c r="D298" t="s">
        <v>167</v>
      </c>
      <c r="E298" t="s">
        <v>28</v>
      </c>
      <c r="F298">
        <v>63</v>
      </c>
      <c r="G298" t="s">
        <v>150</v>
      </c>
      <c r="H298">
        <v>20</v>
      </c>
      <c r="I298" t="s">
        <v>112</v>
      </c>
      <c r="J298" t="s">
        <v>123</v>
      </c>
      <c r="K298" t="s">
        <v>262</v>
      </c>
      <c r="L298" t="s">
        <v>67</v>
      </c>
      <c r="M298">
        <v>38616</v>
      </c>
      <c r="N298" t="s">
        <v>34</v>
      </c>
      <c r="O298" t="s">
        <v>57</v>
      </c>
      <c r="P298" t="s">
        <v>89</v>
      </c>
      <c r="Q298" t="s">
        <v>248</v>
      </c>
      <c r="R298" t="s">
        <v>83</v>
      </c>
      <c r="S298" t="str">
        <f t="shared" si="4"/>
        <v>55-65</v>
      </c>
    </row>
    <row r="299" spans="1:19" x14ac:dyDescent="0.3">
      <c r="A299">
        <v>298</v>
      </c>
      <c r="B299" t="s">
        <v>289</v>
      </c>
      <c r="C299" t="s">
        <v>224</v>
      </c>
      <c r="D299" t="s">
        <v>93</v>
      </c>
      <c r="E299" t="s">
        <v>51</v>
      </c>
      <c r="F299">
        <v>49</v>
      </c>
      <c r="G299" t="s">
        <v>107</v>
      </c>
      <c r="H299">
        <v>4</v>
      </c>
      <c r="I299" t="s">
        <v>73</v>
      </c>
      <c r="J299" t="s">
        <v>113</v>
      </c>
      <c r="K299" t="s">
        <v>330</v>
      </c>
      <c r="L299" t="s">
        <v>46</v>
      </c>
      <c r="M299">
        <v>41902</v>
      </c>
      <c r="N299" t="s">
        <v>115</v>
      </c>
      <c r="O299" t="s">
        <v>35</v>
      </c>
      <c r="P299" t="s">
        <v>169</v>
      </c>
      <c r="Q299" t="s">
        <v>265</v>
      </c>
      <c r="R299" t="s">
        <v>60</v>
      </c>
      <c r="S299" t="str">
        <f t="shared" si="4"/>
        <v>45-54</v>
      </c>
    </row>
    <row r="300" spans="1:19" x14ac:dyDescent="0.3">
      <c r="A300">
        <v>299</v>
      </c>
      <c r="B300" t="s">
        <v>130</v>
      </c>
      <c r="C300" t="s">
        <v>71</v>
      </c>
      <c r="D300" t="s">
        <v>183</v>
      </c>
      <c r="E300" t="s">
        <v>51</v>
      </c>
      <c r="F300">
        <v>20</v>
      </c>
      <c r="G300" t="s">
        <v>107</v>
      </c>
      <c r="H300">
        <v>11</v>
      </c>
      <c r="I300" t="s">
        <v>73</v>
      </c>
      <c r="J300" t="s">
        <v>113</v>
      </c>
      <c r="K300" t="s">
        <v>239</v>
      </c>
      <c r="L300" t="s">
        <v>206</v>
      </c>
      <c r="M300">
        <v>271390</v>
      </c>
      <c r="N300" t="s">
        <v>96</v>
      </c>
      <c r="O300" t="s">
        <v>75</v>
      </c>
      <c r="P300" t="s">
        <v>217</v>
      </c>
      <c r="Q300" t="s">
        <v>303</v>
      </c>
      <c r="R300" t="s">
        <v>126</v>
      </c>
      <c r="S300" t="str">
        <f t="shared" si="4"/>
        <v>18-24</v>
      </c>
    </row>
    <row r="301" spans="1:19" x14ac:dyDescent="0.3">
      <c r="A301">
        <v>300</v>
      </c>
      <c r="B301" t="s">
        <v>258</v>
      </c>
      <c r="C301" t="s">
        <v>105</v>
      </c>
      <c r="D301" t="s">
        <v>224</v>
      </c>
      <c r="E301" t="s">
        <v>28</v>
      </c>
      <c r="F301">
        <v>55</v>
      </c>
      <c r="G301" t="s">
        <v>107</v>
      </c>
      <c r="H301">
        <v>2</v>
      </c>
      <c r="I301" t="s">
        <v>73</v>
      </c>
      <c r="J301" t="s">
        <v>94</v>
      </c>
      <c r="K301" t="s">
        <v>271</v>
      </c>
      <c r="L301" t="s">
        <v>67</v>
      </c>
      <c r="M301">
        <v>274473</v>
      </c>
      <c r="N301" t="s">
        <v>56</v>
      </c>
      <c r="O301" t="s">
        <v>35</v>
      </c>
      <c r="P301" t="s">
        <v>89</v>
      </c>
      <c r="Q301" t="s">
        <v>119</v>
      </c>
      <c r="R301" t="s">
        <v>38</v>
      </c>
      <c r="S301" t="str">
        <f t="shared" si="4"/>
        <v>55-65</v>
      </c>
    </row>
    <row r="302" spans="1:19" x14ac:dyDescent="0.3">
      <c r="A302">
        <v>301</v>
      </c>
      <c r="B302" t="s">
        <v>70</v>
      </c>
      <c r="C302" t="s">
        <v>121</v>
      </c>
      <c r="D302" t="s">
        <v>40</v>
      </c>
      <c r="E302" t="s">
        <v>28</v>
      </c>
      <c r="F302">
        <v>44</v>
      </c>
      <c r="G302" t="s">
        <v>150</v>
      </c>
      <c r="H302">
        <v>29</v>
      </c>
      <c r="I302" t="s">
        <v>122</v>
      </c>
      <c r="J302" t="s">
        <v>53</v>
      </c>
      <c r="K302" t="s">
        <v>213</v>
      </c>
      <c r="L302" t="s">
        <v>55</v>
      </c>
      <c r="M302">
        <v>99391</v>
      </c>
      <c r="N302" t="s">
        <v>47</v>
      </c>
      <c r="O302" t="s">
        <v>57</v>
      </c>
      <c r="P302" t="s">
        <v>217</v>
      </c>
      <c r="Q302" t="s">
        <v>220</v>
      </c>
      <c r="R302" t="s">
        <v>38</v>
      </c>
      <c r="S302" t="str">
        <f t="shared" si="4"/>
        <v>35-44</v>
      </c>
    </row>
    <row r="303" spans="1:19" x14ac:dyDescent="0.3">
      <c r="A303">
        <v>302</v>
      </c>
      <c r="B303" t="s">
        <v>314</v>
      </c>
      <c r="C303" t="s">
        <v>40</v>
      </c>
      <c r="D303" t="s">
        <v>146</v>
      </c>
      <c r="E303" t="s">
        <v>28</v>
      </c>
      <c r="F303">
        <v>63</v>
      </c>
      <c r="G303" t="s">
        <v>107</v>
      </c>
      <c r="H303">
        <v>17</v>
      </c>
      <c r="I303" t="s">
        <v>73</v>
      </c>
      <c r="J303" t="s">
        <v>53</v>
      </c>
      <c r="K303" t="s">
        <v>66</v>
      </c>
      <c r="L303" t="s">
        <v>46</v>
      </c>
      <c r="M303">
        <v>74307</v>
      </c>
      <c r="N303" t="s">
        <v>47</v>
      </c>
      <c r="O303" t="s">
        <v>75</v>
      </c>
      <c r="P303" t="s">
        <v>36</v>
      </c>
      <c r="Q303" t="s">
        <v>161</v>
      </c>
      <c r="R303" t="s">
        <v>83</v>
      </c>
      <c r="S303" t="str">
        <f t="shared" si="4"/>
        <v>55-65</v>
      </c>
    </row>
    <row r="304" spans="1:19" x14ac:dyDescent="0.3">
      <c r="A304">
        <v>303</v>
      </c>
      <c r="B304" t="s">
        <v>319</v>
      </c>
      <c r="C304" t="s">
        <v>163</v>
      </c>
      <c r="D304" t="s">
        <v>110</v>
      </c>
      <c r="E304" t="s">
        <v>28</v>
      </c>
      <c r="F304">
        <v>40</v>
      </c>
      <c r="G304" t="s">
        <v>107</v>
      </c>
      <c r="H304">
        <v>21</v>
      </c>
      <c r="I304" t="s">
        <v>73</v>
      </c>
      <c r="J304" t="s">
        <v>53</v>
      </c>
      <c r="K304" t="s">
        <v>54</v>
      </c>
      <c r="L304" t="s">
        <v>206</v>
      </c>
      <c r="M304">
        <v>206068</v>
      </c>
      <c r="N304" t="s">
        <v>56</v>
      </c>
      <c r="O304" t="s">
        <v>57</v>
      </c>
      <c r="P304" t="s">
        <v>36</v>
      </c>
      <c r="Q304" t="s">
        <v>48</v>
      </c>
      <c r="R304" t="s">
        <v>103</v>
      </c>
      <c r="S304" t="str">
        <f t="shared" si="4"/>
        <v>35-44</v>
      </c>
    </row>
    <row r="305" spans="1:19" x14ac:dyDescent="0.3">
      <c r="A305">
        <v>304</v>
      </c>
      <c r="B305" t="s">
        <v>309</v>
      </c>
      <c r="C305" t="s">
        <v>273</v>
      </c>
      <c r="D305" t="s">
        <v>41</v>
      </c>
      <c r="E305" t="s">
        <v>28</v>
      </c>
      <c r="F305">
        <v>30</v>
      </c>
      <c r="G305" t="s">
        <v>139</v>
      </c>
      <c r="H305">
        <v>5</v>
      </c>
      <c r="I305" t="s">
        <v>140</v>
      </c>
      <c r="J305" t="s">
        <v>113</v>
      </c>
      <c r="K305" t="s">
        <v>325</v>
      </c>
      <c r="L305" t="s">
        <v>55</v>
      </c>
      <c r="M305">
        <v>344319</v>
      </c>
      <c r="N305" t="s">
        <v>115</v>
      </c>
      <c r="O305" t="s">
        <v>35</v>
      </c>
      <c r="P305" t="s">
        <v>230</v>
      </c>
      <c r="Q305" t="s">
        <v>298</v>
      </c>
      <c r="R305" t="s">
        <v>83</v>
      </c>
      <c r="S305" t="str">
        <f t="shared" si="4"/>
        <v>25-34</v>
      </c>
    </row>
    <row r="306" spans="1:19" x14ac:dyDescent="0.3">
      <c r="A306">
        <v>305</v>
      </c>
      <c r="B306" t="s">
        <v>137</v>
      </c>
      <c r="C306" t="s">
        <v>172</v>
      </c>
      <c r="D306" t="s">
        <v>178</v>
      </c>
      <c r="E306" t="s">
        <v>28</v>
      </c>
      <c r="F306">
        <v>65</v>
      </c>
      <c r="G306" t="s">
        <v>198</v>
      </c>
      <c r="H306">
        <v>4</v>
      </c>
      <c r="I306" t="s">
        <v>199</v>
      </c>
      <c r="J306" t="s">
        <v>94</v>
      </c>
      <c r="K306" t="s">
        <v>227</v>
      </c>
      <c r="L306" t="s">
        <v>46</v>
      </c>
      <c r="M306">
        <v>261132</v>
      </c>
      <c r="N306" t="s">
        <v>96</v>
      </c>
      <c r="O306" t="s">
        <v>35</v>
      </c>
      <c r="P306" t="s">
        <v>36</v>
      </c>
      <c r="Q306" t="s">
        <v>161</v>
      </c>
      <c r="R306" t="s">
        <v>126</v>
      </c>
      <c r="S306" t="str">
        <f t="shared" si="4"/>
        <v>55-65</v>
      </c>
    </row>
    <row r="307" spans="1:19" x14ac:dyDescent="0.3">
      <c r="A307">
        <v>306</v>
      </c>
      <c r="B307" t="s">
        <v>208</v>
      </c>
      <c r="C307" t="s">
        <v>63</v>
      </c>
      <c r="D307" t="s">
        <v>63</v>
      </c>
      <c r="E307" t="s">
        <v>51</v>
      </c>
      <c r="F307">
        <v>38</v>
      </c>
      <c r="G307" t="s">
        <v>139</v>
      </c>
      <c r="H307">
        <v>31</v>
      </c>
      <c r="I307" t="s">
        <v>199</v>
      </c>
      <c r="J307" t="s">
        <v>164</v>
      </c>
      <c r="K307" t="s">
        <v>270</v>
      </c>
      <c r="L307" t="s">
        <v>55</v>
      </c>
      <c r="M307">
        <v>9473</v>
      </c>
      <c r="N307" t="s">
        <v>115</v>
      </c>
      <c r="O307" t="s">
        <v>75</v>
      </c>
      <c r="P307" t="s">
        <v>36</v>
      </c>
      <c r="Q307" t="s">
        <v>37</v>
      </c>
      <c r="R307" t="s">
        <v>103</v>
      </c>
      <c r="S307" t="str">
        <f t="shared" si="4"/>
        <v>35-44</v>
      </c>
    </row>
    <row r="308" spans="1:19" x14ac:dyDescent="0.3">
      <c r="A308">
        <v>307</v>
      </c>
      <c r="B308" t="s">
        <v>322</v>
      </c>
      <c r="C308" t="s">
        <v>142</v>
      </c>
      <c r="D308" t="s">
        <v>244</v>
      </c>
      <c r="E308" t="s">
        <v>28</v>
      </c>
      <c r="F308">
        <v>64</v>
      </c>
      <c r="G308" t="s">
        <v>42</v>
      </c>
      <c r="H308">
        <v>24</v>
      </c>
      <c r="I308" t="s">
        <v>112</v>
      </c>
      <c r="J308" t="s">
        <v>94</v>
      </c>
      <c r="K308" t="s">
        <v>210</v>
      </c>
      <c r="L308" t="s">
        <v>33</v>
      </c>
      <c r="M308">
        <v>159841</v>
      </c>
      <c r="N308" t="s">
        <v>115</v>
      </c>
      <c r="O308" t="s">
        <v>35</v>
      </c>
      <c r="P308" t="s">
        <v>68</v>
      </c>
      <c r="Q308" t="s">
        <v>147</v>
      </c>
      <c r="R308" t="s">
        <v>126</v>
      </c>
      <c r="S308" t="str">
        <f t="shared" si="4"/>
        <v>55-65</v>
      </c>
    </row>
    <row r="309" spans="1:19" x14ac:dyDescent="0.3">
      <c r="A309">
        <v>308</v>
      </c>
      <c r="B309" t="s">
        <v>70</v>
      </c>
      <c r="C309" t="s">
        <v>172</v>
      </c>
      <c r="D309" t="s">
        <v>221</v>
      </c>
      <c r="E309" t="s">
        <v>28</v>
      </c>
      <c r="F309">
        <v>28</v>
      </c>
      <c r="G309" t="s">
        <v>79</v>
      </c>
      <c r="H309">
        <v>18</v>
      </c>
      <c r="I309" t="s">
        <v>52</v>
      </c>
      <c r="J309" t="s">
        <v>53</v>
      </c>
      <c r="K309" t="s">
        <v>74</v>
      </c>
      <c r="L309" t="s">
        <v>206</v>
      </c>
      <c r="M309">
        <v>6948</v>
      </c>
      <c r="N309" t="s">
        <v>115</v>
      </c>
      <c r="O309" t="s">
        <v>35</v>
      </c>
      <c r="P309" t="s">
        <v>217</v>
      </c>
      <c r="Q309" t="s">
        <v>233</v>
      </c>
      <c r="R309" t="s">
        <v>38</v>
      </c>
      <c r="S309" t="str">
        <f t="shared" si="4"/>
        <v>25-34</v>
      </c>
    </row>
    <row r="310" spans="1:19" x14ac:dyDescent="0.3">
      <c r="A310">
        <v>309</v>
      </c>
      <c r="B310" t="s">
        <v>242</v>
      </c>
      <c r="C310" t="s">
        <v>149</v>
      </c>
      <c r="D310" t="s">
        <v>111</v>
      </c>
      <c r="E310" t="s">
        <v>51</v>
      </c>
      <c r="F310">
        <v>37</v>
      </c>
      <c r="G310" t="s">
        <v>72</v>
      </c>
      <c r="H310">
        <v>20</v>
      </c>
      <c r="I310" t="s">
        <v>122</v>
      </c>
      <c r="J310" t="s">
        <v>164</v>
      </c>
      <c r="K310" t="s">
        <v>270</v>
      </c>
      <c r="L310" t="s">
        <v>33</v>
      </c>
      <c r="M310">
        <v>194805</v>
      </c>
      <c r="N310" t="s">
        <v>47</v>
      </c>
      <c r="O310" t="s">
        <v>75</v>
      </c>
      <c r="P310" t="s">
        <v>89</v>
      </c>
      <c r="Q310" t="s">
        <v>119</v>
      </c>
      <c r="R310" t="s">
        <v>38</v>
      </c>
      <c r="S310" t="str">
        <f t="shared" si="4"/>
        <v>35-44</v>
      </c>
    </row>
    <row r="311" spans="1:19" x14ac:dyDescent="0.3">
      <c r="A311">
        <v>310</v>
      </c>
      <c r="B311" t="s">
        <v>309</v>
      </c>
      <c r="C311" t="s">
        <v>280</v>
      </c>
      <c r="D311" t="s">
        <v>163</v>
      </c>
      <c r="E311" t="s">
        <v>28</v>
      </c>
      <c r="F311">
        <v>43</v>
      </c>
      <c r="G311" t="s">
        <v>144</v>
      </c>
      <c r="H311">
        <v>14</v>
      </c>
      <c r="I311" t="s">
        <v>118</v>
      </c>
      <c r="J311" t="s">
        <v>94</v>
      </c>
      <c r="K311" t="s">
        <v>151</v>
      </c>
      <c r="L311" t="s">
        <v>67</v>
      </c>
      <c r="M311">
        <v>81313</v>
      </c>
      <c r="N311" t="s">
        <v>47</v>
      </c>
      <c r="O311" t="s">
        <v>57</v>
      </c>
      <c r="P311" t="s">
        <v>101</v>
      </c>
      <c r="Q311" t="s">
        <v>77</v>
      </c>
      <c r="R311" t="s">
        <v>83</v>
      </c>
      <c r="S311" t="str">
        <f t="shared" si="4"/>
        <v>35-44</v>
      </c>
    </row>
    <row r="312" spans="1:19" x14ac:dyDescent="0.3">
      <c r="A312">
        <v>311</v>
      </c>
      <c r="B312" t="s">
        <v>130</v>
      </c>
      <c r="C312" t="s">
        <v>142</v>
      </c>
      <c r="D312" t="s">
        <v>211</v>
      </c>
      <c r="E312" t="s">
        <v>51</v>
      </c>
      <c r="F312">
        <v>18</v>
      </c>
      <c r="G312" t="s">
        <v>42</v>
      </c>
      <c r="H312">
        <v>16</v>
      </c>
      <c r="I312" t="s">
        <v>43</v>
      </c>
      <c r="J312" t="s">
        <v>94</v>
      </c>
      <c r="K312" t="s">
        <v>227</v>
      </c>
      <c r="L312" t="s">
        <v>46</v>
      </c>
      <c r="M312">
        <v>158755</v>
      </c>
      <c r="N312" t="s">
        <v>56</v>
      </c>
      <c r="O312" t="s">
        <v>35</v>
      </c>
      <c r="P312" t="s">
        <v>101</v>
      </c>
      <c r="Q312" t="s">
        <v>77</v>
      </c>
      <c r="R312" t="s">
        <v>60</v>
      </c>
      <c r="S312" t="str">
        <f t="shared" si="4"/>
        <v>18-24</v>
      </c>
    </row>
    <row r="313" spans="1:19" x14ac:dyDescent="0.3">
      <c r="A313">
        <v>312</v>
      </c>
      <c r="B313" t="s">
        <v>99</v>
      </c>
      <c r="C313" t="s">
        <v>62</v>
      </c>
      <c r="D313" t="s">
        <v>63</v>
      </c>
      <c r="E313" t="s">
        <v>51</v>
      </c>
      <c r="F313">
        <v>19</v>
      </c>
      <c r="G313" t="s">
        <v>79</v>
      </c>
      <c r="H313">
        <v>18</v>
      </c>
      <c r="I313" t="s">
        <v>52</v>
      </c>
      <c r="J313" t="s">
        <v>44</v>
      </c>
      <c r="K313" t="s">
        <v>202</v>
      </c>
      <c r="L313" t="s">
        <v>46</v>
      </c>
      <c r="M313">
        <v>182437</v>
      </c>
      <c r="N313" t="s">
        <v>96</v>
      </c>
      <c r="O313" t="s">
        <v>57</v>
      </c>
      <c r="P313" t="s">
        <v>36</v>
      </c>
      <c r="Q313" t="s">
        <v>234</v>
      </c>
      <c r="R313" t="s">
        <v>60</v>
      </c>
      <c r="S313" t="str">
        <f t="shared" si="4"/>
        <v>18-24</v>
      </c>
    </row>
    <row r="314" spans="1:19" x14ac:dyDescent="0.3">
      <c r="A314">
        <v>313</v>
      </c>
      <c r="B314" t="s">
        <v>329</v>
      </c>
      <c r="C314" t="s">
        <v>187</v>
      </c>
      <c r="D314" t="s">
        <v>163</v>
      </c>
      <c r="E314" t="s">
        <v>51</v>
      </c>
      <c r="F314">
        <v>52</v>
      </c>
      <c r="G314" t="s">
        <v>64</v>
      </c>
      <c r="H314">
        <v>4</v>
      </c>
      <c r="I314" t="s">
        <v>65</v>
      </c>
      <c r="J314" t="s">
        <v>31</v>
      </c>
      <c r="K314" t="s">
        <v>311</v>
      </c>
      <c r="L314" t="s">
        <v>67</v>
      </c>
      <c r="M314">
        <v>221292</v>
      </c>
      <c r="N314" t="s">
        <v>115</v>
      </c>
      <c r="O314" t="s">
        <v>75</v>
      </c>
      <c r="P314" t="s">
        <v>36</v>
      </c>
      <c r="Q314" t="s">
        <v>37</v>
      </c>
      <c r="R314" t="s">
        <v>103</v>
      </c>
      <c r="S314" t="str">
        <f t="shared" si="4"/>
        <v>45-54</v>
      </c>
    </row>
    <row r="315" spans="1:19" x14ac:dyDescent="0.3">
      <c r="A315">
        <v>314</v>
      </c>
      <c r="B315" t="s">
        <v>84</v>
      </c>
      <c r="C315" t="s">
        <v>110</v>
      </c>
      <c r="D315" t="s">
        <v>146</v>
      </c>
      <c r="E315" t="s">
        <v>28</v>
      </c>
      <c r="F315">
        <v>65</v>
      </c>
      <c r="G315" t="s">
        <v>107</v>
      </c>
      <c r="H315">
        <v>25</v>
      </c>
      <c r="I315" t="s">
        <v>132</v>
      </c>
      <c r="J315" t="s">
        <v>123</v>
      </c>
      <c r="K315" t="s">
        <v>245</v>
      </c>
      <c r="L315" t="s">
        <v>55</v>
      </c>
      <c r="M315">
        <v>163433</v>
      </c>
      <c r="N315" t="s">
        <v>34</v>
      </c>
      <c r="O315" t="s">
        <v>35</v>
      </c>
      <c r="P315" t="s">
        <v>169</v>
      </c>
      <c r="Q315" t="s">
        <v>192</v>
      </c>
      <c r="R315" t="s">
        <v>60</v>
      </c>
      <c r="S315" t="str">
        <f t="shared" si="4"/>
        <v>55-65</v>
      </c>
    </row>
    <row r="316" spans="1:19" x14ac:dyDescent="0.3">
      <c r="A316">
        <v>315</v>
      </c>
      <c r="B316" t="s">
        <v>319</v>
      </c>
      <c r="C316" t="s">
        <v>154</v>
      </c>
      <c r="D316" t="s">
        <v>167</v>
      </c>
      <c r="E316" t="s">
        <v>28</v>
      </c>
      <c r="F316">
        <v>34</v>
      </c>
      <c r="G316" t="s">
        <v>64</v>
      </c>
      <c r="H316">
        <v>19</v>
      </c>
      <c r="I316" t="s">
        <v>118</v>
      </c>
      <c r="J316" t="s">
        <v>164</v>
      </c>
      <c r="K316" t="s">
        <v>179</v>
      </c>
      <c r="L316" t="s">
        <v>206</v>
      </c>
      <c r="M316">
        <v>160638</v>
      </c>
      <c r="N316" t="s">
        <v>96</v>
      </c>
      <c r="O316" t="s">
        <v>57</v>
      </c>
      <c r="P316" t="s">
        <v>58</v>
      </c>
      <c r="Q316" t="s">
        <v>222</v>
      </c>
      <c r="R316" t="s">
        <v>60</v>
      </c>
      <c r="S316" t="str">
        <f t="shared" si="4"/>
        <v>25-34</v>
      </c>
    </row>
    <row r="317" spans="1:19" x14ac:dyDescent="0.3">
      <c r="A317">
        <v>316</v>
      </c>
      <c r="B317" t="s">
        <v>216</v>
      </c>
      <c r="C317" t="s">
        <v>110</v>
      </c>
      <c r="D317" t="s">
        <v>105</v>
      </c>
      <c r="E317" t="s">
        <v>51</v>
      </c>
      <c r="F317">
        <v>65</v>
      </c>
      <c r="G317" t="s">
        <v>72</v>
      </c>
      <c r="H317">
        <v>24</v>
      </c>
      <c r="I317" t="s">
        <v>73</v>
      </c>
      <c r="J317" t="s">
        <v>94</v>
      </c>
      <c r="K317" t="s">
        <v>268</v>
      </c>
      <c r="L317" t="s">
        <v>33</v>
      </c>
      <c r="M317">
        <v>246804</v>
      </c>
      <c r="N317" t="s">
        <v>47</v>
      </c>
      <c r="O317" t="s">
        <v>75</v>
      </c>
      <c r="P317" t="s">
        <v>217</v>
      </c>
      <c r="Q317" t="s">
        <v>303</v>
      </c>
      <c r="R317" t="s">
        <v>60</v>
      </c>
      <c r="S317" t="str">
        <f t="shared" si="4"/>
        <v>55-65</v>
      </c>
    </row>
    <row r="318" spans="1:19" x14ac:dyDescent="0.3">
      <c r="A318">
        <v>317</v>
      </c>
      <c r="B318" t="s">
        <v>285</v>
      </c>
      <c r="C318" t="s">
        <v>40</v>
      </c>
      <c r="D318" t="s">
        <v>204</v>
      </c>
      <c r="E318" t="s">
        <v>51</v>
      </c>
      <c r="F318">
        <v>43</v>
      </c>
      <c r="G318" t="s">
        <v>79</v>
      </c>
      <c r="H318">
        <v>25</v>
      </c>
      <c r="I318" t="s">
        <v>80</v>
      </c>
      <c r="J318" t="s">
        <v>123</v>
      </c>
      <c r="K318" t="s">
        <v>320</v>
      </c>
      <c r="L318" t="s">
        <v>67</v>
      </c>
      <c r="M318">
        <v>58932</v>
      </c>
      <c r="N318" t="s">
        <v>115</v>
      </c>
      <c r="O318" t="s">
        <v>75</v>
      </c>
      <c r="P318" t="s">
        <v>97</v>
      </c>
      <c r="Q318" t="s">
        <v>278</v>
      </c>
      <c r="R318" t="s">
        <v>103</v>
      </c>
      <c r="S318" t="str">
        <f t="shared" si="4"/>
        <v>35-44</v>
      </c>
    </row>
    <row r="319" spans="1:19" x14ac:dyDescent="0.3">
      <c r="A319">
        <v>318</v>
      </c>
      <c r="B319" t="s">
        <v>304</v>
      </c>
      <c r="C319" t="s">
        <v>160</v>
      </c>
      <c r="D319" t="s">
        <v>189</v>
      </c>
      <c r="E319" t="s">
        <v>51</v>
      </c>
      <c r="F319">
        <v>53</v>
      </c>
      <c r="G319" t="s">
        <v>107</v>
      </c>
      <c r="H319">
        <v>21</v>
      </c>
      <c r="I319" t="s">
        <v>73</v>
      </c>
      <c r="J319" t="s">
        <v>53</v>
      </c>
      <c r="K319" t="s">
        <v>53</v>
      </c>
      <c r="L319" t="s">
        <v>33</v>
      </c>
      <c r="M319">
        <v>47516</v>
      </c>
      <c r="N319" t="s">
        <v>56</v>
      </c>
      <c r="O319" t="s">
        <v>75</v>
      </c>
      <c r="P319" t="s">
        <v>36</v>
      </c>
      <c r="Q319" t="s">
        <v>161</v>
      </c>
      <c r="R319" t="s">
        <v>103</v>
      </c>
      <c r="S319" t="str">
        <f t="shared" si="4"/>
        <v>45-54</v>
      </c>
    </row>
    <row r="320" spans="1:19" x14ac:dyDescent="0.3">
      <c r="A320">
        <v>319</v>
      </c>
      <c r="B320" t="s">
        <v>120</v>
      </c>
      <c r="C320" t="s">
        <v>157</v>
      </c>
      <c r="D320" t="s">
        <v>26</v>
      </c>
      <c r="E320" t="s">
        <v>28</v>
      </c>
      <c r="F320">
        <v>31</v>
      </c>
      <c r="G320" t="s">
        <v>107</v>
      </c>
      <c r="H320">
        <v>29</v>
      </c>
      <c r="I320" t="s">
        <v>132</v>
      </c>
      <c r="J320" t="s">
        <v>44</v>
      </c>
      <c r="K320" t="s">
        <v>294</v>
      </c>
      <c r="L320" t="s">
        <v>67</v>
      </c>
      <c r="M320">
        <v>54147</v>
      </c>
      <c r="N320" t="s">
        <v>115</v>
      </c>
      <c r="O320" t="s">
        <v>75</v>
      </c>
      <c r="P320" t="s">
        <v>58</v>
      </c>
      <c r="Q320" t="s">
        <v>308</v>
      </c>
      <c r="R320" t="s">
        <v>83</v>
      </c>
      <c r="S320" t="str">
        <f t="shared" si="4"/>
        <v>25-34</v>
      </c>
    </row>
    <row r="321" spans="1:19" x14ac:dyDescent="0.3">
      <c r="A321">
        <v>320</v>
      </c>
      <c r="B321" t="s">
        <v>197</v>
      </c>
      <c r="C321" t="s">
        <v>175</v>
      </c>
      <c r="D321" t="s">
        <v>121</v>
      </c>
      <c r="E321" t="s">
        <v>28</v>
      </c>
      <c r="F321">
        <v>59</v>
      </c>
      <c r="G321" t="s">
        <v>150</v>
      </c>
      <c r="H321">
        <v>28</v>
      </c>
      <c r="I321" t="s">
        <v>122</v>
      </c>
      <c r="J321" t="s">
        <v>113</v>
      </c>
      <c r="K321" t="s">
        <v>313</v>
      </c>
      <c r="L321" t="s">
        <v>33</v>
      </c>
      <c r="M321">
        <v>105275</v>
      </c>
      <c r="N321" t="s">
        <v>47</v>
      </c>
      <c r="O321" t="s">
        <v>35</v>
      </c>
      <c r="P321" t="s">
        <v>36</v>
      </c>
      <c r="Q321" t="s">
        <v>37</v>
      </c>
      <c r="R321" t="s">
        <v>38</v>
      </c>
      <c r="S321" t="str">
        <f t="shared" si="4"/>
        <v>55-65</v>
      </c>
    </row>
    <row r="322" spans="1:19" x14ac:dyDescent="0.3">
      <c r="A322">
        <v>321</v>
      </c>
      <c r="B322" t="s">
        <v>49</v>
      </c>
      <c r="C322" t="s">
        <v>178</v>
      </c>
      <c r="D322" t="s">
        <v>131</v>
      </c>
      <c r="E322" t="s">
        <v>51</v>
      </c>
      <c r="F322">
        <v>36</v>
      </c>
      <c r="G322" t="s">
        <v>72</v>
      </c>
      <c r="H322">
        <v>21</v>
      </c>
      <c r="I322" t="s">
        <v>122</v>
      </c>
      <c r="J322" t="s">
        <v>31</v>
      </c>
      <c r="K322" t="s">
        <v>321</v>
      </c>
      <c r="L322" t="s">
        <v>55</v>
      </c>
      <c r="M322">
        <v>315541</v>
      </c>
      <c r="N322" t="s">
        <v>96</v>
      </c>
      <c r="O322" t="s">
        <v>57</v>
      </c>
      <c r="P322" t="s">
        <v>217</v>
      </c>
      <c r="Q322" t="s">
        <v>303</v>
      </c>
      <c r="R322" t="s">
        <v>83</v>
      </c>
      <c r="S322" t="str">
        <f t="shared" ref="S322:S385" si="5">IF(F322&lt;25,"18-24",IF(F322&lt;35,"25-34",IF(F322&lt;45,"35-44",IF(F322&lt;55,"45-54","55-65"))))</f>
        <v>35-44</v>
      </c>
    </row>
    <row r="323" spans="1:19" x14ac:dyDescent="0.3">
      <c r="A323">
        <v>322</v>
      </c>
      <c r="B323" t="s">
        <v>91</v>
      </c>
      <c r="C323" t="s">
        <v>50</v>
      </c>
      <c r="D323" t="s">
        <v>85</v>
      </c>
      <c r="E323" t="s">
        <v>51</v>
      </c>
      <c r="F323">
        <v>45</v>
      </c>
      <c r="G323" t="s">
        <v>150</v>
      </c>
      <c r="H323">
        <v>12</v>
      </c>
      <c r="I323" t="s">
        <v>112</v>
      </c>
      <c r="J323" t="s">
        <v>164</v>
      </c>
      <c r="K323" t="s">
        <v>284</v>
      </c>
      <c r="L323" t="s">
        <v>67</v>
      </c>
      <c r="M323">
        <v>113059</v>
      </c>
      <c r="N323" t="s">
        <v>96</v>
      </c>
      <c r="O323" t="s">
        <v>57</v>
      </c>
      <c r="P323" t="s">
        <v>169</v>
      </c>
      <c r="Q323" t="s">
        <v>192</v>
      </c>
      <c r="R323" t="s">
        <v>83</v>
      </c>
      <c r="S323" t="str">
        <f t="shared" si="5"/>
        <v>45-54</v>
      </c>
    </row>
    <row r="324" spans="1:19" x14ac:dyDescent="0.3">
      <c r="A324">
        <v>323</v>
      </c>
      <c r="B324" t="s">
        <v>287</v>
      </c>
      <c r="C324" t="s">
        <v>236</v>
      </c>
      <c r="D324" t="s">
        <v>71</v>
      </c>
      <c r="E324" t="s">
        <v>28</v>
      </c>
      <c r="F324">
        <v>49</v>
      </c>
      <c r="G324" t="s">
        <v>198</v>
      </c>
      <c r="H324">
        <v>12</v>
      </c>
      <c r="I324" t="s">
        <v>199</v>
      </c>
      <c r="J324" t="s">
        <v>164</v>
      </c>
      <c r="K324" t="s">
        <v>284</v>
      </c>
      <c r="L324" t="s">
        <v>46</v>
      </c>
      <c r="M324">
        <v>65641</v>
      </c>
      <c r="N324" t="s">
        <v>34</v>
      </c>
      <c r="O324" t="s">
        <v>57</v>
      </c>
      <c r="P324" t="s">
        <v>36</v>
      </c>
      <c r="Q324" t="s">
        <v>37</v>
      </c>
      <c r="R324" t="s">
        <v>38</v>
      </c>
      <c r="S324" t="str">
        <f t="shared" si="5"/>
        <v>45-54</v>
      </c>
    </row>
    <row r="325" spans="1:19" x14ac:dyDescent="0.3">
      <c r="A325">
        <v>324</v>
      </c>
      <c r="B325" t="s">
        <v>162</v>
      </c>
      <c r="C325" t="s">
        <v>106</v>
      </c>
      <c r="D325" t="s">
        <v>249</v>
      </c>
      <c r="E325" t="s">
        <v>28</v>
      </c>
      <c r="F325">
        <v>50</v>
      </c>
      <c r="G325" t="s">
        <v>64</v>
      </c>
      <c r="H325">
        <v>24</v>
      </c>
      <c r="I325" t="s">
        <v>118</v>
      </c>
      <c r="J325" t="s">
        <v>113</v>
      </c>
      <c r="K325" t="s">
        <v>113</v>
      </c>
      <c r="L325" t="s">
        <v>46</v>
      </c>
      <c r="M325">
        <v>204721</v>
      </c>
      <c r="N325" t="s">
        <v>115</v>
      </c>
      <c r="O325" t="s">
        <v>35</v>
      </c>
      <c r="P325" t="s">
        <v>97</v>
      </c>
      <c r="Q325" t="s">
        <v>152</v>
      </c>
      <c r="R325" t="s">
        <v>126</v>
      </c>
      <c r="S325" t="str">
        <f t="shared" si="5"/>
        <v>45-54</v>
      </c>
    </row>
    <row r="326" spans="1:19" x14ac:dyDescent="0.3">
      <c r="A326">
        <v>325</v>
      </c>
      <c r="B326" t="s">
        <v>61</v>
      </c>
      <c r="C326" t="s">
        <v>110</v>
      </c>
      <c r="D326" t="s">
        <v>236</v>
      </c>
      <c r="E326" t="s">
        <v>51</v>
      </c>
      <c r="F326">
        <v>43</v>
      </c>
      <c r="G326" t="s">
        <v>72</v>
      </c>
      <c r="H326">
        <v>25</v>
      </c>
      <c r="I326" t="s">
        <v>73</v>
      </c>
      <c r="J326" t="s">
        <v>31</v>
      </c>
      <c r="K326" t="s">
        <v>301</v>
      </c>
      <c r="L326" t="s">
        <v>55</v>
      </c>
      <c r="M326">
        <v>257963</v>
      </c>
      <c r="N326" t="s">
        <v>115</v>
      </c>
      <c r="O326" t="s">
        <v>57</v>
      </c>
      <c r="P326" t="s">
        <v>68</v>
      </c>
      <c r="Q326" t="s">
        <v>267</v>
      </c>
      <c r="R326" t="s">
        <v>126</v>
      </c>
      <c r="S326" t="str">
        <f t="shared" si="5"/>
        <v>35-44</v>
      </c>
    </row>
    <row r="327" spans="1:19" x14ac:dyDescent="0.3">
      <c r="A327">
        <v>326</v>
      </c>
      <c r="B327" t="s">
        <v>153</v>
      </c>
      <c r="C327" t="s">
        <v>93</v>
      </c>
      <c r="D327" t="s">
        <v>163</v>
      </c>
      <c r="E327" t="s">
        <v>28</v>
      </c>
      <c r="F327">
        <v>57</v>
      </c>
      <c r="G327" t="s">
        <v>194</v>
      </c>
      <c r="H327">
        <v>22</v>
      </c>
      <c r="I327" t="s">
        <v>65</v>
      </c>
      <c r="J327" t="s">
        <v>31</v>
      </c>
      <c r="K327" t="s">
        <v>252</v>
      </c>
      <c r="L327" t="s">
        <v>67</v>
      </c>
      <c r="M327">
        <v>53428</v>
      </c>
      <c r="N327" t="s">
        <v>115</v>
      </c>
      <c r="O327" t="s">
        <v>75</v>
      </c>
      <c r="P327" t="s">
        <v>169</v>
      </c>
      <c r="Q327" t="s">
        <v>170</v>
      </c>
      <c r="R327" t="s">
        <v>126</v>
      </c>
      <c r="S327" t="str">
        <f t="shared" si="5"/>
        <v>55-65</v>
      </c>
    </row>
    <row r="328" spans="1:19" x14ac:dyDescent="0.3">
      <c r="A328">
        <v>327</v>
      </c>
      <c r="B328" t="s">
        <v>201</v>
      </c>
      <c r="C328" t="s">
        <v>178</v>
      </c>
      <c r="D328" t="s">
        <v>172</v>
      </c>
      <c r="E328" t="s">
        <v>28</v>
      </c>
      <c r="F328">
        <v>22</v>
      </c>
      <c r="G328" t="s">
        <v>29</v>
      </c>
      <c r="H328">
        <v>25</v>
      </c>
      <c r="I328" t="s">
        <v>52</v>
      </c>
      <c r="J328" t="s">
        <v>123</v>
      </c>
      <c r="K328" t="s">
        <v>286</v>
      </c>
      <c r="L328" t="s">
        <v>67</v>
      </c>
      <c r="M328">
        <v>85736</v>
      </c>
      <c r="N328" t="s">
        <v>56</v>
      </c>
      <c r="O328" t="s">
        <v>57</v>
      </c>
      <c r="P328" t="s">
        <v>230</v>
      </c>
      <c r="Q328" t="s">
        <v>231</v>
      </c>
      <c r="R328" t="s">
        <v>103</v>
      </c>
      <c r="S328" t="str">
        <f t="shared" si="5"/>
        <v>18-24</v>
      </c>
    </row>
    <row r="329" spans="1:19" x14ac:dyDescent="0.3">
      <c r="A329">
        <v>328</v>
      </c>
      <c r="B329" t="s">
        <v>191</v>
      </c>
      <c r="C329" t="s">
        <v>172</v>
      </c>
      <c r="D329" t="s">
        <v>172</v>
      </c>
      <c r="E329" t="s">
        <v>51</v>
      </c>
      <c r="F329">
        <v>65</v>
      </c>
      <c r="G329" t="s">
        <v>72</v>
      </c>
      <c r="H329">
        <v>11</v>
      </c>
      <c r="I329" t="s">
        <v>122</v>
      </c>
      <c r="J329" t="s">
        <v>113</v>
      </c>
      <c r="K329" t="s">
        <v>237</v>
      </c>
      <c r="L329" t="s">
        <v>67</v>
      </c>
      <c r="M329">
        <v>192801</v>
      </c>
      <c r="N329" t="s">
        <v>96</v>
      </c>
      <c r="O329" t="s">
        <v>75</v>
      </c>
      <c r="P329" t="s">
        <v>230</v>
      </c>
      <c r="Q329" t="s">
        <v>250</v>
      </c>
      <c r="R329" t="s">
        <v>103</v>
      </c>
      <c r="S329" t="str">
        <f t="shared" si="5"/>
        <v>55-65</v>
      </c>
    </row>
    <row r="330" spans="1:19" x14ac:dyDescent="0.3">
      <c r="A330">
        <v>329</v>
      </c>
      <c r="B330" t="s">
        <v>91</v>
      </c>
      <c r="C330" t="s">
        <v>215</v>
      </c>
      <c r="D330" t="s">
        <v>280</v>
      </c>
      <c r="E330" t="s">
        <v>51</v>
      </c>
      <c r="F330">
        <v>51</v>
      </c>
      <c r="G330" t="s">
        <v>42</v>
      </c>
      <c r="H330">
        <v>9</v>
      </c>
      <c r="I330" t="s">
        <v>43</v>
      </c>
      <c r="J330" t="s">
        <v>123</v>
      </c>
      <c r="K330" t="s">
        <v>286</v>
      </c>
      <c r="L330" t="s">
        <v>55</v>
      </c>
      <c r="M330">
        <v>286947</v>
      </c>
      <c r="N330" t="s">
        <v>96</v>
      </c>
      <c r="O330" t="s">
        <v>57</v>
      </c>
      <c r="P330" t="s">
        <v>58</v>
      </c>
      <c r="Q330" t="s">
        <v>165</v>
      </c>
      <c r="R330" t="s">
        <v>126</v>
      </c>
      <c r="S330" t="str">
        <f t="shared" si="5"/>
        <v>45-54</v>
      </c>
    </row>
    <row r="331" spans="1:19" x14ac:dyDescent="0.3">
      <c r="A331">
        <v>330</v>
      </c>
      <c r="B331" t="s">
        <v>39</v>
      </c>
      <c r="C331" t="s">
        <v>131</v>
      </c>
      <c r="D331" t="s">
        <v>138</v>
      </c>
      <c r="E331" t="s">
        <v>28</v>
      </c>
      <c r="F331">
        <v>31</v>
      </c>
      <c r="G331" t="s">
        <v>144</v>
      </c>
      <c r="H331">
        <v>8</v>
      </c>
      <c r="I331" t="s">
        <v>118</v>
      </c>
      <c r="J331" t="s">
        <v>113</v>
      </c>
      <c r="K331" t="s">
        <v>237</v>
      </c>
      <c r="L331" t="s">
        <v>46</v>
      </c>
      <c r="M331">
        <v>59288</v>
      </c>
      <c r="N331" t="s">
        <v>34</v>
      </c>
      <c r="O331" t="s">
        <v>75</v>
      </c>
      <c r="P331" t="s">
        <v>169</v>
      </c>
      <c r="Q331" t="s">
        <v>207</v>
      </c>
      <c r="R331" t="s">
        <v>38</v>
      </c>
      <c r="S331" t="str">
        <f t="shared" si="5"/>
        <v>25-34</v>
      </c>
    </row>
    <row r="332" spans="1:19" x14ac:dyDescent="0.3">
      <c r="A332">
        <v>331</v>
      </c>
      <c r="B332" t="s">
        <v>49</v>
      </c>
      <c r="C332" t="s">
        <v>106</v>
      </c>
      <c r="D332" t="s">
        <v>62</v>
      </c>
      <c r="E332" t="s">
        <v>51</v>
      </c>
      <c r="F332">
        <v>31</v>
      </c>
      <c r="G332" t="s">
        <v>198</v>
      </c>
      <c r="H332">
        <v>22</v>
      </c>
      <c r="I332" t="s">
        <v>199</v>
      </c>
      <c r="J332" t="s">
        <v>123</v>
      </c>
      <c r="K332" t="s">
        <v>145</v>
      </c>
      <c r="L332" t="s">
        <v>206</v>
      </c>
      <c r="M332">
        <v>228304</v>
      </c>
      <c r="N332" t="s">
        <v>34</v>
      </c>
      <c r="O332" t="s">
        <v>35</v>
      </c>
      <c r="P332" t="s">
        <v>217</v>
      </c>
      <c r="Q332" t="s">
        <v>220</v>
      </c>
      <c r="R332" t="s">
        <v>60</v>
      </c>
      <c r="S332" t="str">
        <f t="shared" si="5"/>
        <v>25-34</v>
      </c>
    </row>
    <row r="333" spans="1:19" x14ac:dyDescent="0.3">
      <c r="A333">
        <v>332</v>
      </c>
      <c r="B333" t="s">
        <v>297</v>
      </c>
      <c r="C333" t="s">
        <v>244</v>
      </c>
      <c r="D333" t="s">
        <v>66</v>
      </c>
      <c r="E333" t="s">
        <v>28</v>
      </c>
      <c r="F333">
        <v>54</v>
      </c>
      <c r="G333" t="s">
        <v>144</v>
      </c>
      <c r="H333">
        <v>21</v>
      </c>
      <c r="I333" t="s">
        <v>30</v>
      </c>
      <c r="J333" t="s">
        <v>94</v>
      </c>
      <c r="K333" t="s">
        <v>100</v>
      </c>
      <c r="L333" t="s">
        <v>67</v>
      </c>
      <c r="M333">
        <v>62388</v>
      </c>
      <c r="N333" t="s">
        <v>56</v>
      </c>
      <c r="O333" t="s">
        <v>57</v>
      </c>
      <c r="P333" t="s">
        <v>169</v>
      </c>
      <c r="Q333" t="s">
        <v>192</v>
      </c>
      <c r="R333" t="s">
        <v>126</v>
      </c>
      <c r="S333" t="str">
        <f t="shared" si="5"/>
        <v>45-54</v>
      </c>
    </row>
    <row r="334" spans="1:19" x14ac:dyDescent="0.3">
      <c r="A334">
        <v>333</v>
      </c>
      <c r="B334" t="s">
        <v>256</v>
      </c>
      <c r="C334" t="s">
        <v>204</v>
      </c>
      <c r="D334" t="s">
        <v>157</v>
      </c>
      <c r="E334" t="s">
        <v>28</v>
      </c>
      <c r="F334">
        <v>28</v>
      </c>
      <c r="G334" t="s">
        <v>198</v>
      </c>
      <c r="H334">
        <v>20</v>
      </c>
      <c r="I334" t="s">
        <v>199</v>
      </c>
      <c r="J334" t="s">
        <v>123</v>
      </c>
      <c r="K334" t="s">
        <v>145</v>
      </c>
      <c r="L334" t="s">
        <v>46</v>
      </c>
      <c r="M334">
        <v>212289</v>
      </c>
      <c r="N334" t="s">
        <v>115</v>
      </c>
      <c r="O334" t="s">
        <v>75</v>
      </c>
      <c r="P334" t="s">
        <v>68</v>
      </c>
      <c r="Q334" t="s">
        <v>134</v>
      </c>
      <c r="R334" t="s">
        <v>126</v>
      </c>
      <c r="S334" t="str">
        <f t="shared" si="5"/>
        <v>25-34</v>
      </c>
    </row>
    <row r="335" spans="1:19" x14ac:dyDescent="0.3">
      <c r="A335">
        <v>334</v>
      </c>
      <c r="B335" t="s">
        <v>109</v>
      </c>
      <c r="C335" t="s">
        <v>106</v>
      </c>
      <c r="D335" t="s">
        <v>189</v>
      </c>
      <c r="E335" t="s">
        <v>51</v>
      </c>
      <c r="F335">
        <v>55</v>
      </c>
      <c r="G335" t="s">
        <v>87</v>
      </c>
      <c r="H335">
        <v>30</v>
      </c>
      <c r="I335" t="s">
        <v>140</v>
      </c>
      <c r="J335" t="s">
        <v>123</v>
      </c>
      <c r="K335" t="s">
        <v>212</v>
      </c>
      <c r="L335" t="s">
        <v>67</v>
      </c>
      <c r="M335">
        <v>135483</v>
      </c>
      <c r="N335" t="s">
        <v>34</v>
      </c>
      <c r="O335" t="s">
        <v>35</v>
      </c>
      <c r="P335" t="s">
        <v>101</v>
      </c>
      <c r="Q335" t="s">
        <v>125</v>
      </c>
      <c r="R335" t="s">
        <v>38</v>
      </c>
      <c r="S335" t="str">
        <f t="shared" si="5"/>
        <v>55-65</v>
      </c>
    </row>
    <row r="336" spans="1:19" x14ac:dyDescent="0.3">
      <c r="A336">
        <v>335</v>
      </c>
      <c r="B336" t="s">
        <v>304</v>
      </c>
      <c r="C336" t="s">
        <v>40</v>
      </c>
      <c r="D336" t="s">
        <v>273</v>
      </c>
      <c r="E336" t="s">
        <v>51</v>
      </c>
      <c r="F336">
        <v>20</v>
      </c>
      <c r="G336" t="s">
        <v>144</v>
      </c>
      <c r="H336">
        <v>16</v>
      </c>
      <c r="I336" t="s">
        <v>118</v>
      </c>
      <c r="J336" t="s">
        <v>94</v>
      </c>
      <c r="K336" t="s">
        <v>133</v>
      </c>
      <c r="L336" t="s">
        <v>33</v>
      </c>
      <c r="M336">
        <v>264572</v>
      </c>
      <c r="N336" t="s">
        <v>96</v>
      </c>
      <c r="O336" t="s">
        <v>75</v>
      </c>
      <c r="P336" t="s">
        <v>36</v>
      </c>
      <c r="Q336" t="s">
        <v>185</v>
      </c>
      <c r="R336" t="s">
        <v>38</v>
      </c>
      <c r="S336" t="str">
        <f t="shared" si="5"/>
        <v>18-24</v>
      </c>
    </row>
    <row r="337" spans="1:19" x14ac:dyDescent="0.3">
      <c r="A337">
        <v>336</v>
      </c>
      <c r="B337" t="s">
        <v>302</v>
      </c>
      <c r="C337" t="s">
        <v>224</v>
      </c>
      <c r="D337" t="s">
        <v>136</v>
      </c>
      <c r="E337" t="s">
        <v>28</v>
      </c>
      <c r="F337">
        <v>32</v>
      </c>
      <c r="G337" t="s">
        <v>87</v>
      </c>
      <c r="H337">
        <v>28</v>
      </c>
      <c r="I337" t="s">
        <v>140</v>
      </c>
      <c r="J337" t="s">
        <v>113</v>
      </c>
      <c r="K337" t="s">
        <v>239</v>
      </c>
      <c r="L337" t="s">
        <v>46</v>
      </c>
      <c r="M337">
        <v>125929</v>
      </c>
      <c r="N337" t="s">
        <v>34</v>
      </c>
      <c r="O337" t="s">
        <v>57</v>
      </c>
      <c r="P337" t="s">
        <v>89</v>
      </c>
      <c r="Q337" t="s">
        <v>225</v>
      </c>
      <c r="R337" t="s">
        <v>38</v>
      </c>
      <c r="S337" t="str">
        <f t="shared" si="5"/>
        <v>25-34</v>
      </c>
    </row>
    <row r="338" spans="1:19" x14ac:dyDescent="0.3">
      <c r="A338">
        <v>337</v>
      </c>
      <c r="B338" t="s">
        <v>235</v>
      </c>
      <c r="C338" t="s">
        <v>111</v>
      </c>
      <c r="D338" t="s">
        <v>128</v>
      </c>
      <c r="E338" t="s">
        <v>51</v>
      </c>
      <c r="F338">
        <v>44</v>
      </c>
      <c r="G338" t="s">
        <v>64</v>
      </c>
      <c r="H338">
        <v>10</v>
      </c>
      <c r="I338" t="s">
        <v>65</v>
      </c>
      <c r="J338" t="s">
        <v>94</v>
      </c>
      <c r="K338" t="s">
        <v>151</v>
      </c>
      <c r="L338" t="s">
        <v>33</v>
      </c>
      <c r="M338">
        <v>6887</v>
      </c>
      <c r="N338" t="s">
        <v>56</v>
      </c>
      <c r="O338" t="s">
        <v>75</v>
      </c>
      <c r="P338" t="s">
        <v>230</v>
      </c>
      <c r="Q338" t="s">
        <v>298</v>
      </c>
      <c r="R338" t="s">
        <v>60</v>
      </c>
      <c r="S338" t="str">
        <f t="shared" si="5"/>
        <v>35-44</v>
      </c>
    </row>
    <row r="339" spans="1:19" x14ac:dyDescent="0.3">
      <c r="A339">
        <v>338</v>
      </c>
      <c r="B339" t="s">
        <v>70</v>
      </c>
      <c r="C339" t="s">
        <v>215</v>
      </c>
      <c r="D339" t="s">
        <v>157</v>
      </c>
      <c r="E339" t="s">
        <v>28</v>
      </c>
      <c r="F339">
        <v>41</v>
      </c>
      <c r="G339" t="s">
        <v>107</v>
      </c>
      <c r="H339">
        <v>26</v>
      </c>
      <c r="I339" t="s">
        <v>132</v>
      </c>
      <c r="J339" t="s">
        <v>53</v>
      </c>
      <c r="K339" t="s">
        <v>213</v>
      </c>
      <c r="L339" t="s">
        <v>46</v>
      </c>
      <c r="M339">
        <v>151995</v>
      </c>
      <c r="N339" t="s">
        <v>47</v>
      </c>
      <c r="O339" t="s">
        <v>57</v>
      </c>
      <c r="P339" t="s">
        <v>101</v>
      </c>
      <c r="Q339" t="s">
        <v>125</v>
      </c>
      <c r="R339" t="s">
        <v>126</v>
      </c>
      <c r="S339" t="str">
        <f t="shared" si="5"/>
        <v>35-44</v>
      </c>
    </row>
    <row r="340" spans="1:19" x14ac:dyDescent="0.3">
      <c r="A340">
        <v>339</v>
      </c>
      <c r="B340" t="s">
        <v>282</v>
      </c>
      <c r="C340" t="s">
        <v>93</v>
      </c>
      <c r="D340" t="s">
        <v>211</v>
      </c>
      <c r="E340" t="s">
        <v>51</v>
      </c>
      <c r="F340">
        <v>44</v>
      </c>
      <c r="G340" t="s">
        <v>79</v>
      </c>
      <c r="H340">
        <v>22</v>
      </c>
      <c r="I340" t="s">
        <v>80</v>
      </c>
      <c r="J340" t="s">
        <v>123</v>
      </c>
      <c r="K340" t="s">
        <v>286</v>
      </c>
      <c r="L340" t="s">
        <v>55</v>
      </c>
      <c r="M340">
        <v>171451</v>
      </c>
      <c r="N340" t="s">
        <v>56</v>
      </c>
      <c r="O340" t="s">
        <v>75</v>
      </c>
      <c r="P340" t="s">
        <v>36</v>
      </c>
      <c r="Q340" t="s">
        <v>185</v>
      </c>
      <c r="R340" t="s">
        <v>103</v>
      </c>
      <c r="S340" t="str">
        <f t="shared" si="5"/>
        <v>35-44</v>
      </c>
    </row>
    <row r="341" spans="1:19" x14ac:dyDescent="0.3">
      <c r="A341">
        <v>340</v>
      </c>
      <c r="B341" t="s">
        <v>285</v>
      </c>
      <c r="C341" t="s">
        <v>85</v>
      </c>
      <c r="D341" t="s">
        <v>178</v>
      </c>
      <c r="E341" t="s">
        <v>51</v>
      </c>
      <c r="F341">
        <v>60</v>
      </c>
      <c r="G341" t="s">
        <v>107</v>
      </c>
      <c r="H341">
        <v>13</v>
      </c>
      <c r="I341" t="s">
        <v>73</v>
      </c>
      <c r="J341" t="s">
        <v>44</v>
      </c>
      <c r="K341" t="s">
        <v>293</v>
      </c>
      <c r="L341" t="s">
        <v>67</v>
      </c>
      <c r="M341">
        <v>159075</v>
      </c>
      <c r="N341" t="s">
        <v>34</v>
      </c>
      <c r="O341" t="s">
        <v>35</v>
      </c>
      <c r="P341" t="s">
        <v>101</v>
      </c>
      <c r="Q341" t="s">
        <v>125</v>
      </c>
      <c r="R341" t="s">
        <v>126</v>
      </c>
      <c r="S341" t="str">
        <f t="shared" si="5"/>
        <v>55-65</v>
      </c>
    </row>
    <row r="342" spans="1:19" x14ac:dyDescent="0.3">
      <c r="A342">
        <v>341</v>
      </c>
      <c r="B342" t="s">
        <v>49</v>
      </c>
      <c r="C342" t="s">
        <v>167</v>
      </c>
      <c r="D342" t="s">
        <v>211</v>
      </c>
      <c r="E342" t="s">
        <v>51</v>
      </c>
      <c r="F342">
        <v>28</v>
      </c>
      <c r="G342" t="s">
        <v>107</v>
      </c>
      <c r="H342">
        <v>22</v>
      </c>
      <c r="I342" t="s">
        <v>132</v>
      </c>
      <c r="J342" t="s">
        <v>44</v>
      </c>
      <c r="K342" t="s">
        <v>44</v>
      </c>
      <c r="L342" t="s">
        <v>67</v>
      </c>
      <c r="M342">
        <v>282507</v>
      </c>
      <c r="N342" t="s">
        <v>96</v>
      </c>
      <c r="O342" t="s">
        <v>75</v>
      </c>
      <c r="P342" t="s">
        <v>58</v>
      </c>
      <c r="Q342" t="s">
        <v>59</v>
      </c>
      <c r="R342" t="s">
        <v>103</v>
      </c>
      <c r="S342" t="str">
        <f t="shared" si="5"/>
        <v>25-34</v>
      </c>
    </row>
    <row r="343" spans="1:19" x14ac:dyDescent="0.3">
      <c r="A343">
        <v>342</v>
      </c>
      <c r="B343" t="s">
        <v>156</v>
      </c>
      <c r="C343" t="s">
        <v>154</v>
      </c>
      <c r="D343" t="s">
        <v>128</v>
      </c>
      <c r="E343" t="s">
        <v>28</v>
      </c>
      <c r="F343">
        <v>64</v>
      </c>
      <c r="G343" t="s">
        <v>87</v>
      </c>
      <c r="H343">
        <v>3</v>
      </c>
      <c r="I343" t="s">
        <v>80</v>
      </c>
      <c r="J343" t="s">
        <v>94</v>
      </c>
      <c r="K343" t="s">
        <v>100</v>
      </c>
      <c r="L343" t="s">
        <v>46</v>
      </c>
      <c r="M343">
        <v>216818</v>
      </c>
      <c r="N343" t="s">
        <v>47</v>
      </c>
      <c r="O343" t="s">
        <v>75</v>
      </c>
      <c r="P343" t="s">
        <v>58</v>
      </c>
      <c r="Q343" t="s">
        <v>222</v>
      </c>
      <c r="R343" t="s">
        <v>126</v>
      </c>
      <c r="S343" t="str">
        <f t="shared" si="5"/>
        <v>55-65</v>
      </c>
    </row>
    <row r="344" spans="1:19" x14ac:dyDescent="0.3">
      <c r="A344">
        <v>343</v>
      </c>
      <c r="B344" t="s">
        <v>319</v>
      </c>
      <c r="C344" t="s">
        <v>249</v>
      </c>
      <c r="D344" t="s">
        <v>117</v>
      </c>
      <c r="E344" t="s">
        <v>28</v>
      </c>
      <c r="F344">
        <v>60</v>
      </c>
      <c r="G344" t="s">
        <v>198</v>
      </c>
      <c r="H344">
        <v>1</v>
      </c>
      <c r="I344" t="s">
        <v>199</v>
      </c>
      <c r="J344" t="s">
        <v>31</v>
      </c>
      <c r="K344" t="s">
        <v>252</v>
      </c>
      <c r="L344" t="s">
        <v>46</v>
      </c>
      <c r="M344">
        <v>72188</v>
      </c>
      <c r="N344" t="s">
        <v>56</v>
      </c>
      <c r="O344" t="s">
        <v>75</v>
      </c>
      <c r="P344" t="s">
        <v>36</v>
      </c>
      <c r="Q344" t="s">
        <v>234</v>
      </c>
      <c r="R344" t="s">
        <v>38</v>
      </c>
      <c r="S344" t="str">
        <f t="shared" si="5"/>
        <v>55-65</v>
      </c>
    </row>
    <row r="345" spans="1:19" x14ac:dyDescent="0.3">
      <c r="A345">
        <v>344</v>
      </c>
      <c r="B345" t="s">
        <v>264</v>
      </c>
      <c r="C345" t="s">
        <v>93</v>
      </c>
      <c r="D345" t="s">
        <v>143</v>
      </c>
      <c r="E345" t="s">
        <v>28</v>
      </c>
      <c r="F345">
        <v>35</v>
      </c>
      <c r="G345" t="s">
        <v>72</v>
      </c>
      <c r="H345">
        <v>1</v>
      </c>
      <c r="I345" t="s">
        <v>122</v>
      </c>
      <c r="J345" t="s">
        <v>31</v>
      </c>
      <c r="K345" t="s">
        <v>321</v>
      </c>
      <c r="L345" t="s">
        <v>206</v>
      </c>
      <c r="M345">
        <v>236033</v>
      </c>
      <c r="N345" t="s">
        <v>56</v>
      </c>
      <c r="O345" t="s">
        <v>35</v>
      </c>
      <c r="P345" t="s">
        <v>58</v>
      </c>
      <c r="Q345" t="s">
        <v>165</v>
      </c>
      <c r="R345" t="s">
        <v>126</v>
      </c>
      <c r="S345" t="str">
        <f t="shared" si="5"/>
        <v>35-44</v>
      </c>
    </row>
    <row r="346" spans="1:19" x14ac:dyDescent="0.3">
      <c r="A346">
        <v>345</v>
      </c>
      <c r="B346" t="s">
        <v>156</v>
      </c>
      <c r="C346" t="s">
        <v>204</v>
      </c>
      <c r="D346" t="s">
        <v>167</v>
      </c>
      <c r="E346" t="s">
        <v>28</v>
      </c>
      <c r="F346">
        <v>55</v>
      </c>
      <c r="G346" t="s">
        <v>79</v>
      </c>
      <c r="H346">
        <v>24</v>
      </c>
      <c r="I346" t="s">
        <v>80</v>
      </c>
      <c r="J346" t="s">
        <v>164</v>
      </c>
      <c r="K346" t="s">
        <v>209</v>
      </c>
      <c r="L346" t="s">
        <v>55</v>
      </c>
      <c r="M346">
        <v>337334</v>
      </c>
      <c r="N346" t="s">
        <v>115</v>
      </c>
      <c r="O346" t="s">
        <v>75</v>
      </c>
      <c r="P346" t="s">
        <v>76</v>
      </c>
      <c r="Q346" t="s">
        <v>272</v>
      </c>
      <c r="R346" t="s">
        <v>38</v>
      </c>
      <c r="S346" t="str">
        <f t="shared" si="5"/>
        <v>55-65</v>
      </c>
    </row>
    <row r="347" spans="1:19" x14ac:dyDescent="0.3">
      <c r="A347">
        <v>346</v>
      </c>
      <c r="B347" t="s">
        <v>196</v>
      </c>
      <c r="C347" t="s">
        <v>85</v>
      </c>
      <c r="D347" t="s">
        <v>105</v>
      </c>
      <c r="E347" t="s">
        <v>51</v>
      </c>
      <c r="F347">
        <v>24</v>
      </c>
      <c r="G347" t="s">
        <v>79</v>
      </c>
      <c r="H347">
        <v>6</v>
      </c>
      <c r="I347" t="s">
        <v>52</v>
      </c>
      <c r="J347" t="s">
        <v>123</v>
      </c>
      <c r="K347" t="s">
        <v>124</v>
      </c>
      <c r="L347" t="s">
        <v>55</v>
      </c>
      <c r="M347">
        <v>178593</v>
      </c>
      <c r="N347" t="s">
        <v>34</v>
      </c>
      <c r="O347" t="s">
        <v>75</v>
      </c>
      <c r="P347" t="s">
        <v>36</v>
      </c>
      <c r="Q347" t="s">
        <v>37</v>
      </c>
      <c r="R347" t="s">
        <v>83</v>
      </c>
      <c r="S347" t="str">
        <f t="shared" si="5"/>
        <v>18-24</v>
      </c>
    </row>
    <row r="348" spans="1:19" x14ac:dyDescent="0.3">
      <c r="A348">
        <v>347</v>
      </c>
      <c r="B348" t="s">
        <v>241</v>
      </c>
      <c r="C348" t="s">
        <v>63</v>
      </c>
      <c r="D348" t="s">
        <v>85</v>
      </c>
      <c r="E348" t="s">
        <v>51</v>
      </c>
      <c r="F348">
        <v>39</v>
      </c>
      <c r="G348" t="s">
        <v>198</v>
      </c>
      <c r="H348">
        <v>25</v>
      </c>
      <c r="I348" t="s">
        <v>43</v>
      </c>
      <c r="J348" t="s">
        <v>31</v>
      </c>
      <c r="K348" t="s">
        <v>311</v>
      </c>
      <c r="L348" t="s">
        <v>33</v>
      </c>
      <c r="M348">
        <v>314301</v>
      </c>
      <c r="N348" t="s">
        <v>96</v>
      </c>
      <c r="O348" t="s">
        <v>35</v>
      </c>
      <c r="P348" t="s">
        <v>89</v>
      </c>
      <c r="Q348" t="s">
        <v>225</v>
      </c>
      <c r="R348" t="s">
        <v>83</v>
      </c>
      <c r="S348" t="str">
        <f t="shared" si="5"/>
        <v>35-44</v>
      </c>
    </row>
    <row r="349" spans="1:19" x14ac:dyDescent="0.3">
      <c r="A349">
        <v>348</v>
      </c>
      <c r="B349" t="s">
        <v>70</v>
      </c>
      <c r="C349" t="s">
        <v>249</v>
      </c>
      <c r="D349" t="s">
        <v>128</v>
      </c>
      <c r="E349" t="s">
        <v>28</v>
      </c>
      <c r="F349">
        <v>38</v>
      </c>
      <c r="G349" t="s">
        <v>72</v>
      </c>
      <c r="H349">
        <v>23</v>
      </c>
      <c r="I349" t="s">
        <v>73</v>
      </c>
      <c r="J349" t="s">
        <v>31</v>
      </c>
      <c r="K349" t="s">
        <v>311</v>
      </c>
      <c r="L349" t="s">
        <v>33</v>
      </c>
      <c r="M349">
        <v>183194</v>
      </c>
      <c r="N349" t="s">
        <v>47</v>
      </c>
      <c r="O349" t="s">
        <v>35</v>
      </c>
      <c r="P349" t="s">
        <v>58</v>
      </c>
      <c r="Q349" t="s">
        <v>165</v>
      </c>
      <c r="R349" t="s">
        <v>83</v>
      </c>
      <c r="S349" t="str">
        <f t="shared" si="5"/>
        <v>35-44</v>
      </c>
    </row>
    <row r="350" spans="1:19" x14ac:dyDescent="0.3">
      <c r="A350">
        <v>349</v>
      </c>
      <c r="B350" t="s">
        <v>153</v>
      </c>
      <c r="C350" t="s">
        <v>189</v>
      </c>
      <c r="D350" t="s">
        <v>26</v>
      </c>
      <c r="E350" t="s">
        <v>28</v>
      </c>
      <c r="F350">
        <v>48</v>
      </c>
      <c r="G350" t="s">
        <v>87</v>
      </c>
      <c r="H350">
        <v>3</v>
      </c>
      <c r="I350" t="s">
        <v>80</v>
      </c>
      <c r="J350" t="s">
        <v>94</v>
      </c>
      <c r="K350" t="s">
        <v>108</v>
      </c>
      <c r="L350" t="s">
        <v>46</v>
      </c>
      <c r="M350">
        <v>80405</v>
      </c>
      <c r="N350" t="s">
        <v>47</v>
      </c>
      <c r="O350" t="s">
        <v>35</v>
      </c>
      <c r="P350" t="s">
        <v>76</v>
      </c>
      <c r="Q350" t="s">
        <v>272</v>
      </c>
      <c r="R350" t="s">
        <v>38</v>
      </c>
      <c r="S350" t="str">
        <f t="shared" si="5"/>
        <v>45-54</v>
      </c>
    </row>
    <row r="351" spans="1:19" x14ac:dyDescent="0.3">
      <c r="A351">
        <v>350</v>
      </c>
      <c r="B351" t="s">
        <v>329</v>
      </c>
      <c r="C351" t="s">
        <v>143</v>
      </c>
      <c r="D351" t="s">
        <v>26</v>
      </c>
      <c r="E351" t="s">
        <v>51</v>
      </c>
      <c r="F351">
        <v>32</v>
      </c>
      <c r="G351" t="s">
        <v>29</v>
      </c>
      <c r="H351">
        <v>28</v>
      </c>
      <c r="I351" t="s">
        <v>52</v>
      </c>
      <c r="J351" t="s">
        <v>53</v>
      </c>
      <c r="K351" t="s">
        <v>280</v>
      </c>
      <c r="L351" t="s">
        <v>55</v>
      </c>
      <c r="M351">
        <v>293535</v>
      </c>
      <c r="N351" t="s">
        <v>115</v>
      </c>
      <c r="O351" t="s">
        <v>35</v>
      </c>
      <c r="P351" t="s">
        <v>68</v>
      </c>
      <c r="Q351" t="s">
        <v>173</v>
      </c>
      <c r="R351" t="s">
        <v>60</v>
      </c>
      <c r="S351" t="str">
        <f t="shared" si="5"/>
        <v>25-34</v>
      </c>
    </row>
    <row r="352" spans="1:19" x14ac:dyDescent="0.3">
      <c r="A352">
        <v>351</v>
      </c>
      <c r="B352" t="s">
        <v>258</v>
      </c>
      <c r="C352" t="s">
        <v>211</v>
      </c>
      <c r="D352" t="s">
        <v>105</v>
      </c>
      <c r="E352" t="s">
        <v>28</v>
      </c>
      <c r="F352">
        <v>41</v>
      </c>
      <c r="G352" t="s">
        <v>42</v>
      </c>
      <c r="H352">
        <v>2</v>
      </c>
      <c r="I352" t="s">
        <v>43</v>
      </c>
      <c r="J352" t="s">
        <v>164</v>
      </c>
      <c r="K352" t="s">
        <v>253</v>
      </c>
      <c r="L352" t="s">
        <v>46</v>
      </c>
      <c r="M352">
        <v>174857</v>
      </c>
      <c r="N352" t="s">
        <v>47</v>
      </c>
      <c r="O352" t="s">
        <v>57</v>
      </c>
      <c r="P352" t="s">
        <v>217</v>
      </c>
      <c r="Q352" t="s">
        <v>233</v>
      </c>
      <c r="R352" t="s">
        <v>38</v>
      </c>
      <c r="S352" t="str">
        <f t="shared" si="5"/>
        <v>35-44</v>
      </c>
    </row>
    <row r="353" spans="1:19" x14ac:dyDescent="0.3">
      <c r="A353">
        <v>352</v>
      </c>
      <c r="B353" t="s">
        <v>196</v>
      </c>
      <c r="C353" t="s">
        <v>128</v>
      </c>
      <c r="D353" t="s">
        <v>142</v>
      </c>
      <c r="E353" t="s">
        <v>51</v>
      </c>
      <c r="F353">
        <v>48</v>
      </c>
      <c r="G353" t="s">
        <v>150</v>
      </c>
      <c r="H353">
        <v>5</v>
      </c>
      <c r="I353" t="s">
        <v>112</v>
      </c>
      <c r="J353" t="s">
        <v>113</v>
      </c>
      <c r="K353" t="s">
        <v>239</v>
      </c>
      <c r="L353" t="s">
        <v>206</v>
      </c>
      <c r="M353">
        <v>178354</v>
      </c>
      <c r="N353" t="s">
        <v>115</v>
      </c>
      <c r="O353" t="s">
        <v>57</v>
      </c>
      <c r="P353" t="s">
        <v>36</v>
      </c>
      <c r="Q353" t="s">
        <v>37</v>
      </c>
      <c r="R353" t="s">
        <v>60</v>
      </c>
      <c r="S353" t="str">
        <f t="shared" si="5"/>
        <v>45-54</v>
      </c>
    </row>
    <row r="354" spans="1:19" x14ac:dyDescent="0.3">
      <c r="A354">
        <v>353</v>
      </c>
      <c r="B354" t="s">
        <v>203</v>
      </c>
      <c r="C354" t="s">
        <v>146</v>
      </c>
      <c r="D354" t="s">
        <v>105</v>
      </c>
      <c r="E354" t="s">
        <v>51</v>
      </c>
      <c r="F354">
        <v>55</v>
      </c>
      <c r="G354" t="s">
        <v>194</v>
      </c>
      <c r="H354">
        <v>22</v>
      </c>
      <c r="I354" t="s">
        <v>65</v>
      </c>
      <c r="J354" t="s">
        <v>31</v>
      </c>
      <c r="K354" t="s">
        <v>205</v>
      </c>
      <c r="L354" t="s">
        <v>55</v>
      </c>
      <c r="M354">
        <v>129753</v>
      </c>
      <c r="N354" t="s">
        <v>115</v>
      </c>
      <c r="O354" t="s">
        <v>75</v>
      </c>
      <c r="P354" t="s">
        <v>101</v>
      </c>
      <c r="Q354" t="s">
        <v>77</v>
      </c>
      <c r="R354" t="s">
        <v>83</v>
      </c>
      <c r="S354" t="str">
        <f t="shared" si="5"/>
        <v>55-65</v>
      </c>
    </row>
    <row r="355" spans="1:19" x14ac:dyDescent="0.3">
      <c r="A355">
        <v>354</v>
      </c>
      <c r="B355" t="s">
        <v>226</v>
      </c>
      <c r="C355" t="s">
        <v>236</v>
      </c>
      <c r="D355" t="s">
        <v>211</v>
      </c>
      <c r="E355" t="s">
        <v>28</v>
      </c>
      <c r="F355">
        <v>45</v>
      </c>
      <c r="G355" t="s">
        <v>87</v>
      </c>
      <c r="H355">
        <v>12</v>
      </c>
      <c r="I355" t="s">
        <v>80</v>
      </c>
      <c r="J355" t="s">
        <v>31</v>
      </c>
      <c r="K355" t="s">
        <v>195</v>
      </c>
      <c r="L355" t="s">
        <v>55</v>
      </c>
      <c r="M355">
        <v>246746</v>
      </c>
      <c r="N355" t="s">
        <v>47</v>
      </c>
      <c r="O355" t="s">
        <v>57</v>
      </c>
      <c r="P355" t="s">
        <v>68</v>
      </c>
      <c r="Q355" t="s">
        <v>134</v>
      </c>
      <c r="R355" t="s">
        <v>83</v>
      </c>
      <c r="S355" t="str">
        <f t="shared" si="5"/>
        <v>45-54</v>
      </c>
    </row>
    <row r="356" spans="1:19" x14ac:dyDescent="0.3">
      <c r="A356">
        <v>355</v>
      </c>
      <c r="B356" t="s">
        <v>223</v>
      </c>
      <c r="C356" t="s">
        <v>85</v>
      </c>
      <c r="D356" t="s">
        <v>131</v>
      </c>
      <c r="E356" t="s">
        <v>51</v>
      </c>
      <c r="F356">
        <v>24</v>
      </c>
      <c r="G356" t="s">
        <v>150</v>
      </c>
      <c r="H356">
        <v>22</v>
      </c>
      <c r="I356" t="s">
        <v>112</v>
      </c>
      <c r="J356" t="s">
        <v>31</v>
      </c>
      <c r="K356" t="s">
        <v>252</v>
      </c>
      <c r="L356" t="s">
        <v>206</v>
      </c>
      <c r="M356">
        <v>196592</v>
      </c>
      <c r="N356" t="s">
        <v>115</v>
      </c>
      <c r="O356" t="s">
        <v>35</v>
      </c>
      <c r="P356" t="s">
        <v>230</v>
      </c>
      <c r="Q356" t="s">
        <v>298</v>
      </c>
      <c r="R356" t="s">
        <v>38</v>
      </c>
      <c r="S356" t="str">
        <f t="shared" si="5"/>
        <v>18-24</v>
      </c>
    </row>
    <row r="357" spans="1:19" x14ac:dyDescent="0.3">
      <c r="A357">
        <v>356</v>
      </c>
      <c r="B357" t="s">
        <v>324</v>
      </c>
      <c r="C357" t="s">
        <v>175</v>
      </c>
      <c r="D357" t="s">
        <v>136</v>
      </c>
      <c r="E357" t="s">
        <v>51</v>
      </c>
      <c r="F357">
        <v>51</v>
      </c>
      <c r="G357" t="s">
        <v>198</v>
      </c>
      <c r="H357">
        <v>5</v>
      </c>
      <c r="I357" t="s">
        <v>199</v>
      </c>
      <c r="J357" t="s">
        <v>164</v>
      </c>
      <c r="K357" t="s">
        <v>270</v>
      </c>
      <c r="L357" t="s">
        <v>55</v>
      </c>
      <c r="M357">
        <v>275940</v>
      </c>
      <c r="N357" t="s">
        <v>47</v>
      </c>
      <c r="O357" t="s">
        <v>75</v>
      </c>
      <c r="P357" t="s">
        <v>36</v>
      </c>
      <c r="Q357" t="s">
        <v>234</v>
      </c>
      <c r="R357" t="s">
        <v>126</v>
      </c>
      <c r="S357" t="str">
        <f t="shared" si="5"/>
        <v>45-54</v>
      </c>
    </row>
    <row r="358" spans="1:19" x14ac:dyDescent="0.3">
      <c r="A358">
        <v>357</v>
      </c>
      <c r="B358" t="s">
        <v>153</v>
      </c>
      <c r="C358" t="s">
        <v>273</v>
      </c>
      <c r="D358" t="s">
        <v>146</v>
      </c>
      <c r="E358" t="s">
        <v>28</v>
      </c>
      <c r="F358">
        <v>34</v>
      </c>
      <c r="G358" t="s">
        <v>144</v>
      </c>
      <c r="H358">
        <v>2</v>
      </c>
      <c r="I358" t="s">
        <v>118</v>
      </c>
      <c r="J358" t="s">
        <v>31</v>
      </c>
      <c r="K358" t="s">
        <v>252</v>
      </c>
      <c r="L358" t="s">
        <v>55</v>
      </c>
      <c r="M358">
        <v>160200</v>
      </c>
      <c r="N358" t="s">
        <v>47</v>
      </c>
      <c r="O358" t="s">
        <v>57</v>
      </c>
      <c r="P358" t="s">
        <v>89</v>
      </c>
      <c r="Q358" t="s">
        <v>248</v>
      </c>
      <c r="R358" t="s">
        <v>83</v>
      </c>
      <c r="S358" t="str">
        <f t="shared" si="5"/>
        <v>25-34</v>
      </c>
    </row>
    <row r="359" spans="1:19" x14ac:dyDescent="0.3">
      <c r="A359">
        <v>358</v>
      </c>
      <c r="B359" t="s">
        <v>274</v>
      </c>
      <c r="C359" t="s">
        <v>41</v>
      </c>
      <c r="D359" t="s">
        <v>136</v>
      </c>
      <c r="E359" t="s">
        <v>51</v>
      </c>
      <c r="F359">
        <v>56</v>
      </c>
      <c r="G359" t="s">
        <v>64</v>
      </c>
      <c r="H359">
        <v>12</v>
      </c>
      <c r="I359" t="s">
        <v>65</v>
      </c>
      <c r="J359" t="s">
        <v>164</v>
      </c>
      <c r="K359" t="s">
        <v>270</v>
      </c>
      <c r="L359" t="s">
        <v>46</v>
      </c>
      <c r="M359">
        <v>203684</v>
      </c>
      <c r="N359" t="s">
        <v>115</v>
      </c>
      <c r="O359" t="s">
        <v>57</v>
      </c>
      <c r="P359" t="s">
        <v>68</v>
      </c>
      <c r="Q359" t="s">
        <v>267</v>
      </c>
      <c r="R359" t="s">
        <v>83</v>
      </c>
      <c r="S359" t="str">
        <f t="shared" si="5"/>
        <v>55-65</v>
      </c>
    </row>
    <row r="360" spans="1:19" x14ac:dyDescent="0.3">
      <c r="A360">
        <v>359</v>
      </c>
      <c r="B360" t="s">
        <v>269</v>
      </c>
      <c r="C360" t="s">
        <v>117</v>
      </c>
      <c r="D360" t="s">
        <v>111</v>
      </c>
      <c r="E360" t="s">
        <v>51</v>
      </c>
      <c r="F360">
        <v>57</v>
      </c>
      <c r="G360" t="s">
        <v>107</v>
      </c>
      <c r="H360">
        <v>15</v>
      </c>
      <c r="I360" t="s">
        <v>73</v>
      </c>
      <c r="J360" t="s">
        <v>113</v>
      </c>
      <c r="K360" t="s">
        <v>310</v>
      </c>
      <c r="L360" t="s">
        <v>67</v>
      </c>
      <c r="M360">
        <v>222941</v>
      </c>
      <c r="N360" t="s">
        <v>115</v>
      </c>
      <c r="O360" t="s">
        <v>75</v>
      </c>
      <c r="P360" t="s">
        <v>230</v>
      </c>
      <c r="Q360" t="s">
        <v>251</v>
      </c>
      <c r="R360" t="s">
        <v>83</v>
      </c>
      <c r="S360" t="str">
        <f t="shared" si="5"/>
        <v>55-65</v>
      </c>
    </row>
    <row r="361" spans="1:19" x14ac:dyDescent="0.3">
      <c r="A361">
        <v>360</v>
      </c>
      <c r="B361" t="s">
        <v>186</v>
      </c>
      <c r="C361" t="s">
        <v>85</v>
      </c>
      <c r="D361" t="s">
        <v>92</v>
      </c>
      <c r="E361" t="s">
        <v>51</v>
      </c>
      <c r="F361">
        <v>32</v>
      </c>
      <c r="G361" t="s">
        <v>64</v>
      </c>
      <c r="H361">
        <v>3</v>
      </c>
      <c r="I361" t="s">
        <v>65</v>
      </c>
      <c r="J361" t="s">
        <v>31</v>
      </c>
      <c r="K361" t="s">
        <v>301</v>
      </c>
      <c r="L361" t="s">
        <v>55</v>
      </c>
      <c r="M361">
        <v>230290</v>
      </c>
      <c r="N361" t="s">
        <v>56</v>
      </c>
      <c r="O361" t="s">
        <v>75</v>
      </c>
      <c r="P361" t="s">
        <v>76</v>
      </c>
      <c r="Q361" t="s">
        <v>272</v>
      </c>
      <c r="R361" t="s">
        <v>103</v>
      </c>
      <c r="S361" t="str">
        <f t="shared" si="5"/>
        <v>25-34</v>
      </c>
    </row>
    <row r="362" spans="1:19" x14ac:dyDescent="0.3">
      <c r="A362">
        <v>361</v>
      </c>
      <c r="B362" t="s">
        <v>241</v>
      </c>
      <c r="C362" t="s">
        <v>111</v>
      </c>
      <c r="D362" t="s">
        <v>93</v>
      </c>
      <c r="E362" t="s">
        <v>51</v>
      </c>
      <c r="F362">
        <v>44</v>
      </c>
      <c r="G362" t="s">
        <v>107</v>
      </c>
      <c r="H362">
        <v>19</v>
      </c>
      <c r="I362" t="s">
        <v>73</v>
      </c>
      <c r="J362" t="s">
        <v>94</v>
      </c>
      <c r="K362" t="s">
        <v>95</v>
      </c>
      <c r="L362" t="s">
        <v>67</v>
      </c>
      <c r="M362">
        <v>299703</v>
      </c>
      <c r="N362" t="s">
        <v>115</v>
      </c>
      <c r="O362" t="s">
        <v>75</v>
      </c>
      <c r="P362" t="s">
        <v>169</v>
      </c>
      <c r="Q362" t="s">
        <v>207</v>
      </c>
      <c r="R362" t="s">
        <v>83</v>
      </c>
      <c r="S362" t="str">
        <f t="shared" si="5"/>
        <v>35-44</v>
      </c>
    </row>
    <row r="363" spans="1:19" x14ac:dyDescent="0.3">
      <c r="A363">
        <v>362</v>
      </c>
      <c r="B363" t="s">
        <v>84</v>
      </c>
      <c r="C363" t="s">
        <v>66</v>
      </c>
      <c r="D363" t="s">
        <v>92</v>
      </c>
      <c r="E363" t="s">
        <v>28</v>
      </c>
      <c r="F363">
        <v>53</v>
      </c>
      <c r="G363" t="s">
        <v>64</v>
      </c>
      <c r="H363">
        <v>4</v>
      </c>
      <c r="I363" t="s">
        <v>65</v>
      </c>
      <c r="J363" t="s">
        <v>113</v>
      </c>
      <c r="K363" t="s">
        <v>323</v>
      </c>
      <c r="L363" t="s">
        <v>46</v>
      </c>
      <c r="M363">
        <v>270972</v>
      </c>
      <c r="N363" t="s">
        <v>34</v>
      </c>
      <c r="O363" t="s">
        <v>35</v>
      </c>
      <c r="P363" t="s">
        <v>97</v>
      </c>
      <c r="Q363" t="s">
        <v>98</v>
      </c>
      <c r="R363" t="s">
        <v>83</v>
      </c>
      <c r="S363" t="str">
        <f t="shared" si="5"/>
        <v>45-54</v>
      </c>
    </row>
    <row r="364" spans="1:19" x14ac:dyDescent="0.3">
      <c r="A364">
        <v>363</v>
      </c>
      <c r="B364" t="s">
        <v>116</v>
      </c>
      <c r="C364" t="s">
        <v>215</v>
      </c>
      <c r="D364" t="s">
        <v>63</v>
      </c>
      <c r="E364" t="s">
        <v>28</v>
      </c>
      <c r="F364">
        <v>36</v>
      </c>
      <c r="G364" t="s">
        <v>79</v>
      </c>
      <c r="H364">
        <v>8</v>
      </c>
      <c r="I364" t="s">
        <v>52</v>
      </c>
      <c r="J364" t="s">
        <v>31</v>
      </c>
      <c r="K364" t="s">
        <v>32</v>
      </c>
      <c r="L364" t="s">
        <v>67</v>
      </c>
      <c r="M364">
        <v>50291</v>
      </c>
      <c r="N364" t="s">
        <v>34</v>
      </c>
      <c r="O364" t="s">
        <v>35</v>
      </c>
      <c r="P364" t="s">
        <v>89</v>
      </c>
      <c r="Q364" t="s">
        <v>90</v>
      </c>
      <c r="R364" t="s">
        <v>83</v>
      </c>
      <c r="S364" t="str">
        <f t="shared" si="5"/>
        <v>35-44</v>
      </c>
    </row>
    <row r="365" spans="1:19" x14ac:dyDescent="0.3">
      <c r="A365">
        <v>364</v>
      </c>
      <c r="B365" t="s">
        <v>235</v>
      </c>
      <c r="C365" t="s">
        <v>71</v>
      </c>
      <c r="D365" t="s">
        <v>110</v>
      </c>
      <c r="E365" t="s">
        <v>51</v>
      </c>
      <c r="F365">
        <v>62</v>
      </c>
      <c r="G365" t="s">
        <v>79</v>
      </c>
      <c r="H365">
        <v>18</v>
      </c>
      <c r="I365" t="s">
        <v>52</v>
      </c>
      <c r="J365" t="s">
        <v>123</v>
      </c>
      <c r="K365" t="s">
        <v>261</v>
      </c>
      <c r="L365" t="s">
        <v>206</v>
      </c>
      <c r="M365">
        <v>208837</v>
      </c>
      <c r="N365" t="s">
        <v>56</v>
      </c>
      <c r="O365" t="s">
        <v>57</v>
      </c>
      <c r="P365" t="s">
        <v>36</v>
      </c>
      <c r="Q365" t="s">
        <v>161</v>
      </c>
      <c r="R365" t="s">
        <v>126</v>
      </c>
      <c r="S365" t="str">
        <f t="shared" si="5"/>
        <v>55-65</v>
      </c>
    </row>
    <row r="366" spans="1:19" x14ac:dyDescent="0.3">
      <c r="A366">
        <v>365</v>
      </c>
      <c r="B366" t="s">
        <v>274</v>
      </c>
      <c r="C366" t="s">
        <v>236</v>
      </c>
      <c r="D366" t="s">
        <v>110</v>
      </c>
      <c r="E366" t="s">
        <v>51</v>
      </c>
      <c r="F366">
        <v>37</v>
      </c>
      <c r="G366" t="s">
        <v>29</v>
      </c>
      <c r="H366">
        <v>26</v>
      </c>
      <c r="I366" t="s">
        <v>52</v>
      </c>
      <c r="J366" t="s">
        <v>113</v>
      </c>
      <c r="K366" t="s">
        <v>313</v>
      </c>
      <c r="L366" t="s">
        <v>55</v>
      </c>
      <c r="M366">
        <v>94633</v>
      </c>
      <c r="N366" t="s">
        <v>34</v>
      </c>
      <c r="O366" t="s">
        <v>35</v>
      </c>
      <c r="P366" t="s">
        <v>76</v>
      </c>
      <c r="Q366" t="s">
        <v>200</v>
      </c>
      <c r="R366" t="s">
        <v>126</v>
      </c>
      <c r="S366" t="str">
        <f t="shared" si="5"/>
        <v>35-44</v>
      </c>
    </row>
    <row r="367" spans="1:19" x14ac:dyDescent="0.3">
      <c r="A367">
        <v>366</v>
      </c>
      <c r="B367" t="s">
        <v>214</v>
      </c>
      <c r="C367" t="s">
        <v>260</v>
      </c>
      <c r="D367" t="s">
        <v>236</v>
      </c>
      <c r="E367" t="s">
        <v>28</v>
      </c>
      <c r="F367">
        <v>48</v>
      </c>
      <c r="G367" t="s">
        <v>42</v>
      </c>
      <c r="H367">
        <v>1</v>
      </c>
      <c r="I367" t="s">
        <v>43</v>
      </c>
      <c r="J367" t="s">
        <v>44</v>
      </c>
      <c r="K367" t="s">
        <v>88</v>
      </c>
      <c r="L367" t="s">
        <v>55</v>
      </c>
      <c r="M367">
        <v>269225</v>
      </c>
      <c r="N367" t="s">
        <v>56</v>
      </c>
      <c r="O367" t="s">
        <v>35</v>
      </c>
      <c r="P367" t="s">
        <v>230</v>
      </c>
      <c r="Q367" t="s">
        <v>259</v>
      </c>
      <c r="R367" t="s">
        <v>60</v>
      </c>
      <c r="S367" t="str">
        <f t="shared" si="5"/>
        <v>45-54</v>
      </c>
    </row>
    <row r="368" spans="1:19" x14ac:dyDescent="0.3">
      <c r="A368">
        <v>367</v>
      </c>
      <c r="B368" t="s">
        <v>329</v>
      </c>
      <c r="C368" t="s">
        <v>136</v>
      </c>
      <c r="D368" t="s">
        <v>167</v>
      </c>
      <c r="E368" t="s">
        <v>51</v>
      </c>
      <c r="F368">
        <v>63</v>
      </c>
      <c r="G368" t="s">
        <v>139</v>
      </c>
      <c r="H368">
        <v>13</v>
      </c>
      <c r="I368" t="s">
        <v>140</v>
      </c>
      <c r="J368" t="s">
        <v>31</v>
      </c>
      <c r="K368" t="s">
        <v>331</v>
      </c>
      <c r="L368" t="s">
        <v>33</v>
      </c>
      <c r="M368">
        <v>81104</v>
      </c>
      <c r="N368" t="s">
        <v>96</v>
      </c>
      <c r="O368" t="s">
        <v>75</v>
      </c>
      <c r="P368" t="s">
        <v>58</v>
      </c>
      <c r="Q368" t="s">
        <v>222</v>
      </c>
      <c r="R368" t="s">
        <v>38</v>
      </c>
      <c r="S368" t="str">
        <f t="shared" si="5"/>
        <v>55-65</v>
      </c>
    </row>
    <row r="369" spans="1:19" x14ac:dyDescent="0.3">
      <c r="A369">
        <v>368</v>
      </c>
      <c r="B369" t="s">
        <v>246</v>
      </c>
      <c r="C369" t="s">
        <v>215</v>
      </c>
      <c r="D369" t="s">
        <v>26</v>
      </c>
      <c r="E369" t="s">
        <v>51</v>
      </c>
      <c r="F369">
        <v>30</v>
      </c>
      <c r="G369" t="s">
        <v>42</v>
      </c>
      <c r="H369">
        <v>26</v>
      </c>
      <c r="I369" t="s">
        <v>112</v>
      </c>
      <c r="J369" t="s">
        <v>53</v>
      </c>
      <c r="K369" t="s">
        <v>213</v>
      </c>
      <c r="L369" t="s">
        <v>33</v>
      </c>
      <c r="M369">
        <v>52135</v>
      </c>
      <c r="N369" t="s">
        <v>96</v>
      </c>
      <c r="O369" t="s">
        <v>75</v>
      </c>
      <c r="P369" t="s">
        <v>101</v>
      </c>
      <c r="Q369" t="s">
        <v>125</v>
      </c>
      <c r="R369" t="s">
        <v>103</v>
      </c>
      <c r="S369" t="str">
        <f t="shared" si="5"/>
        <v>25-34</v>
      </c>
    </row>
    <row r="370" spans="1:19" x14ac:dyDescent="0.3">
      <c r="A370">
        <v>369</v>
      </c>
      <c r="B370" t="s">
        <v>186</v>
      </c>
      <c r="C370" t="s">
        <v>117</v>
      </c>
      <c r="D370" t="s">
        <v>183</v>
      </c>
      <c r="E370" t="s">
        <v>51</v>
      </c>
      <c r="F370">
        <v>52</v>
      </c>
      <c r="G370" t="s">
        <v>87</v>
      </c>
      <c r="H370">
        <v>1</v>
      </c>
      <c r="I370" t="s">
        <v>80</v>
      </c>
      <c r="J370" t="s">
        <v>31</v>
      </c>
      <c r="K370" t="s">
        <v>31</v>
      </c>
      <c r="L370" t="s">
        <v>55</v>
      </c>
      <c r="M370">
        <v>340455</v>
      </c>
      <c r="N370" t="s">
        <v>47</v>
      </c>
      <c r="O370" t="s">
        <v>35</v>
      </c>
      <c r="P370" t="s">
        <v>97</v>
      </c>
      <c r="Q370" t="s">
        <v>180</v>
      </c>
      <c r="R370" t="s">
        <v>103</v>
      </c>
      <c r="S370" t="str">
        <f t="shared" si="5"/>
        <v>45-54</v>
      </c>
    </row>
    <row r="371" spans="1:19" x14ac:dyDescent="0.3">
      <c r="A371">
        <v>370</v>
      </c>
      <c r="B371" t="s">
        <v>316</v>
      </c>
      <c r="C371" t="s">
        <v>204</v>
      </c>
      <c r="D371" t="s">
        <v>50</v>
      </c>
      <c r="E371" t="s">
        <v>28</v>
      </c>
      <c r="F371">
        <v>44</v>
      </c>
      <c r="G371" t="s">
        <v>194</v>
      </c>
      <c r="H371">
        <v>16</v>
      </c>
      <c r="I371" t="s">
        <v>132</v>
      </c>
      <c r="J371" t="s">
        <v>31</v>
      </c>
      <c r="K371" t="s">
        <v>301</v>
      </c>
      <c r="L371" t="s">
        <v>206</v>
      </c>
      <c r="M371">
        <v>349297</v>
      </c>
      <c r="N371" t="s">
        <v>34</v>
      </c>
      <c r="O371" t="s">
        <v>57</v>
      </c>
      <c r="P371" t="s">
        <v>230</v>
      </c>
      <c r="Q371" t="s">
        <v>251</v>
      </c>
      <c r="R371" t="s">
        <v>60</v>
      </c>
      <c r="S371" t="str">
        <f t="shared" si="5"/>
        <v>35-44</v>
      </c>
    </row>
    <row r="372" spans="1:19" x14ac:dyDescent="0.3">
      <c r="A372">
        <v>371</v>
      </c>
      <c r="B372" t="s">
        <v>277</v>
      </c>
      <c r="C372" t="s">
        <v>27</v>
      </c>
      <c r="D372" t="s">
        <v>111</v>
      </c>
      <c r="E372" t="s">
        <v>28</v>
      </c>
      <c r="F372">
        <v>29</v>
      </c>
      <c r="G372" t="s">
        <v>139</v>
      </c>
      <c r="H372">
        <v>3</v>
      </c>
      <c r="I372" t="s">
        <v>140</v>
      </c>
      <c r="J372" t="s">
        <v>94</v>
      </c>
      <c r="K372" t="s">
        <v>95</v>
      </c>
      <c r="L372" t="s">
        <v>33</v>
      </c>
      <c r="M372">
        <v>286951</v>
      </c>
      <c r="N372" t="s">
        <v>34</v>
      </c>
      <c r="O372" t="s">
        <v>75</v>
      </c>
      <c r="P372" t="s">
        <v>68</v>
      </c>
      <c r="Q372" t="s">
        <v>147</v>
      </c>
      <c r="R372" t="s">
        <v>38</v>
      </c>
      <c r="S372" t="str">
        <f t="shared" si="5"/>
        <v>25-34</v>
      </c>
    </row>
    <row r="373" spans="1:19" x14ac:dyDescent="0.3">
      <c r="A373">
        <v>372</v>
      </c>
      <c r="B373" t="s">
        <v>241</v>
      </c>
      <c r="C373" t="s">
        <v>143</v>
      </c>
      <c r="D373" t="s">
        <v>26</v>
      </c>
      <c r="E373" t="s">
        <v>51</v>
      </c>
      <c r="F373">
        <v>51</v>
      </c>
      <c r="G373" t="s">
        <v>194</v>
      </c>
      <c r="H373">
        <v>7</v>
      </c>
      <c r="I373" t="s">
        <v>132</v>
      </c>
      <c r="J373" t="s">
        <v>123</v>
      </c>
      <c r="K373" t="s">
        <v>245</v>
      </c>
      <c r="L373" t="s">
        <v>55</v>
      </c>
      <c r="M373">
        <v>139247</v>
      </c>
      <c r="N373" t="s">
        <v>47</v>
      </c>
      <c r="O373" t="s">
        <v>35</v>
      </c>
      <c r="P373" t="s">
        <v>68</v>
      </c>
      <c r="Q373" t="s">
        <v>134</v>
      </c>
      <c r="R373" t="s">
        <v>60</v>
      </c>
      <c r="S373" t="str">
        <f t="shared" si="5"/>
        <v>45-54</v>
      </c>
    </row>
    <row r="374" spans="1:19" x14ac:dyDescent="0.3">
      <c r="A374">
        <v>373</v>
      </c>
      <c r="B374" t="s">
        <v>162</v>
      </c>
      <c r="C374" t="s">
        <v>236</v>
      </c>
      <c r="D374" t="s">
        <v>249</v>
      </c>
      <c r="E374" t="s">
        <v>28</v>
      </c>
      <c r="F374">
        <v>60</v>
      </c>
      <c r="G374" t="s">
        <v>79</v>
      </c>
      <c r="H374">
        <v>7</v>
      </c>
      <c r="I374" t="s">
        <v>52</v>
      </c>
      <c r="J374" t="s">
        <v>53</v>
      </c>
      <c r="K374" t="s">
        <v>53</v>
      </c>
      <c r="L374" t="s">
        <v>206</v>
      </c>
      <c r="M374">
        <v>86408</v>
      </c>
      <c r="N374" t="s">
        <v>47</v>
      </c>
      <c r="O374" t="s">
        <v>35</v>
      </c>
      <c r="P374" t="s">
        <v>68</v>
      </c>
      <c r="Q374" t="s">
        <v>69</v>
      </c>
      <c r="R374" t="s">
        <v>38</v>
      </c>
      <c r="S374" t="str">
        <f t="shared" si="5"/>
        <v>55-65</v>
      </c>
    </row>
    <row r="375" spans="1:19" x14ac:dyDescent="0.3">
      <c r="A375">
        <v>374</v>
      </c>
      <c r="B375" t="s">
        <v>91</v>
      </c>
      <c r="C375" t="s">
        <v>62</v>
      </c>
      <c r="D375" t="s">
        <v>92</v>
      </c>
      <c r="E375" t="s">
        <v>51</v>
      </c>
      <c r="F375">
        <v>62</v>
      </c>
      <c r="G375" t="s">
        <v>29</v>
      </c>
      <c r="H375">
        <v>1</v>
      </c>
      <c r="I375" t="s">
        <v>30</v>
      </c>
      <c r="J375" t="s">
        <v>113</v>
      </c>
      <c r="K375" t="s">
        <v>323</v>
      </c>
      <c r="L375" t="s">
        <v>33</v>
      </c>
      <c r="M375">
        <v>133133</v>
      </c>
      <c r="N375" t="s">
        <v>115</v>
      </c>
      <c r="O375" t="s">
        <v>35</v>
      </c>
      <c r="P375" t="s">
        <v>217</v>
      </c>
      <c r="Q375" t="s">
        <v>220</v>
      </c>
      <c r="R375" t="s">
        <v>103</v>
      </c>
      <c r="S375" t="str">
        <f t="shared" si="5"/>
        <v>55-65</v>
      </c>
    </row>
    <row r="376" spans="1:19" x14ac:dyDescent="0.3">
      <c r="A376">
        <v>375</v>
      </c>
      <c r="B376" t="s">
        <v>300</v>
      </c>
      <c r="C376" t="s">
        <v>181</v>
      </c>
      <c r="D376" t="s">
        <v>142</v>
      </c>
      <c r="E376" t="s">
        <v>28</v>
      </c>
      <c r="F376">
        <v>59</v>
      </c>
      <c r="G376" t="s">
        <v>72</v>
      </c>
      <c r="H376">
        <v>2</v>
      </c>
      <c r="I376" t="s">
        <v>122</v>
      </c>
      <c r="J376" t="s">
        <v>113</v>
      </c>
      <c r="K376" t="s">
        <v>283</v>
      </c>
      <c r="L376" t="s">
        <v>67</v>
      </c>
      <c r="M376">
        <v>278056</v>
      </c>
      <c r="N376" t="s">
        <v>96</v>
      </c>
      <c r="O376" t="s">
        <v>35</v>
      </c>
      <c r="P376" t="s">
        <v>169</v>
      </c>
      <c r="Q376" t="s">
        <v>170</v>
      </c>
      <c r="R376" t="s">
        <v>83</v>
      </c>
      <c r="S376" t="str">
        <f t="shared" si="5"/>
        <v>55-65</v>
      </c>
    </row>
    <row r="377" spans="1:19" x14ac:dyDescent="0.3">
      <c r="A377">
        <v>376</v>
      </c>
      <c r="B377" t="s">
        <v>241</v>
      </c>
      <c r="C377" t="s">
        <v>106</v>
      </c>
      <c r="D377" t="s">
        <v>183</v>
      </c>
      <c r="E377" t="s">
        <v>51</v>
      </c>
      <c r="F377">
        <v>64</v>
      </c>
      <c r="G377" t="s">
        <v>194</v>
      </c>
      <c r="H377">
        <v>23</v>
      </c>
      <c r="I377" t="s">
        <v>65</v>
      </c>
      <c r="J377" t="s">
        <v>123</v>
      </c>
      <c r="K377" t="s">
        <v>262</v>
      </c>
      <c r="L377" t="s">
        <v>206</v>
      </c>
      <c r="M377">
        <v>315039</v>
      </c>
      <c r="N377" t="s">
        <v>96</v>
      </c>
      <c r="O377" t="s">
        <v>75</v>
      </c>
      <c r="P377" t="s">
        <v>169</v>
      </c>
      <c r="Q377" t="s">
        <v>240</v>
      </c>
      <c r="R377" t="s">
        <v>83</v>
      </c>
      <c r="S377" t="str">
        <f t="shared" si="5"/>
        <v>55-65</v>
      </c>
    </row>
    <row r="378" spans="1:19" x14ac:dyDescent="0.3">
      <c r="A378">
        <v>377</v>
      </c>
      <c r="B378" t="s">
        <v>329</v>
      </c>
      <c r="C378" t="s">
        <v>85</v>
      </c>
      <c r="D378" t="s">
        <v>175</v>
      </c>
      <c r="E378" t="s">
        <v>51</v>
      </c>
      <c r="F378">
        <v>35</v>
      </c>
      <c r="G378" t="s">
        <v>42</v>
      </c>
      <c r="H378">
        <v>12</v>
      </c>
      <c r="I378" t="s">
        <v>43</v>
      </c>
      <c r="J378" t="s">
        <v>53</v>
      </c>
      <c r="K378" t="s">
        <v>141</v>
      </c>
      <c r="L378" t="s">
        <v>46</v>
      </c>
      <c r="M378">
        <v>60318</v>
      </c>
      <c r="N378" t="s">
        <v>115</v>
      </c>
      <c r="O378" t="s">
        <v>57</v>
      </c>
      <c r="P378" t="s">
        <v>217</v>
      </c>
      <c r="Q378" t="s">
        <v>218</v>
      </c>
      <c r="R378" t="s">
        <v>83</v>
      </c>
      <c r="S378" t="str">
        <f t="shared" si="5"/>
        <v>35-44</v>
      </c>
    </row>
    <row r="379" spans="1:19" x14ac:dyDescent="0.3">
      <c r="A379">
        <v>378</v>
      </c>
      <c r="B379" t="s">
        <v>61</v>
      </c>
      <c r="C379" t="s">
        <v>93</v>
      </c>
      <c r="D379" t="s">
        <v>71</v>
      </c>
      <c r="E379" t="s">
        <v>51</v>
      </c>
      <c r="F379">
        <v>42</v>
      </c>
      <c r="G379" t="s">
        <v>194</v>
      </c>
      <c r="H379">
        <v>25</v>
      </c>
      <c r="I379" t="s">
        <v>65</v>
      </c>
      <c r="J379" t="s">
        <v>44</v>
      </c>
      <c r="K379" t="s">
        <v>81</v>
      </c>
      <c r="L379" t="s">
        <v>55</v>
      </c>
      <c r="M379">
        <v>218808</v>
      </c>
      <c r="N379" t="s">
        <v>56</v>
      </c>
      <c r="O379" t="s">
        <v>35</v>
      </c>
      <c r="P379" t="s">
        <v>169</v>
      </c>
      <c r="Q379" t="s">
        <v>192</v>
      </c>
      <c r="R379" t="s">
        <v>83</v>
      </c>
      <c r="S379" t="str">
        <f t="shared" si="5"/>
        <v>35-44</v>
      </c>
    </row>
    <row r="380" spans="1:19" x14ac:dyDescent="0.3">
      <c r="A380">
        <v>379</v>
      </c>
      <c r="B380" t="s">
        <v>137</v>
      </c>
      <c r="C380" t="s">
        <v>63</v>
      </c>
      <c r="D380" t="s">
        <v>183</v>
      </c>
      <c r="E380" t="s">
        <v>28</v>
      </c>
      <c r="F380">
        <v>27</v>
      </c>
      <c r="G380" t="s">
        <v>42</v>
      </c>
      <c r="H380">
        <v>22</v>
      </c>
      <c r="I380" t="s">
        <v>43</v>
      </c>
      <c r="J380" t="s">
        <v>123</v>
      </c>
      <c r="K380" t="s">
        <v>124</v>
      </c>
      <c r="L380" t="s">
        <v>55</v>
      </c>
      <c r="M380">
        <v>116297</v>
      </c>
      <c r="N380" t="s">
        <v>34</v>
      </c>
      <c r="O380" t="s">
        <v>35</v>
      </c>
      <c r="P380" t="s">
        <v>217</v>
      </c>
      <c r="Q380" t="s">
        <v>233</v>
      </c>
      <c r="R380" t="s">
        <v>126</v>
      </c>
      <c r="S380" t="str">
        <f t="shared" si="5"/>
        <v>25-34</v>
      </c>
    </row>
    <row r="381" spans="1:19" x14ac:dyDescent="0.3">
      <c r="A381">
        <v>380</v>
      </c>
      <c r="B381" t="s">
        <v>264</v>
      </c>
      <c r="C381" t="s">
        <v>131</v>
      </c>
      <c r="D381" t="s">
        <v>175</v>
      </c>
      <c r="E381" t="s">
        <v>28</v>
      </c>
      <c r="F381">
        <v>30</v>
      </c>
      <c r="G381" t="s">
        <v>194</v>
      </c>
      <c r="H381">
        <v>7</v>
      </c>
      <c r="I381" t="s">
        <v>132</v>
      </c>
      <c r="J381" t="s">
        <v>113</v>
      </c>
      <c r="K381" t="s">
        <v>323</v>
      </c>
      <c r="L381" t="s">
        <v>206</v>
      </c>
      <c r="M381">
        <v>201999</v>
      </c>
      <c r="N381" t="s">
        <v>96</v>
      </c>
      <c r="O381" t="s">
        <v>75</v>
      </c>
      <c r="P381" t="s">
        <v>101</v>
      </c>
      <c r="Q381" t="s">
        <v>129</v>
      </c>
      <c r="R381" t="s">
        <v>126</v>
      </c>
      <c r="S381" t="str">
        <f t="shared" si="5"/>
        <v>25-34</v>
      </c>
    </row>
    <row r="382" spans="1:19" x14ac:dyDescent="0.3">
      <c r="A382">
        <v>381</v>
      </c>
      <c r="B382" t="s">
        <v>208</v>
      </c>
      <c r="C382" t="s">
        <v>93</v>
      </c>
      <c r="D382" t="s">
        <v>128</v>
      </c>
      <c r="E382" t="s">
        <v>51</v>
      </c>
      <c r="F382">
        <v>31</v>
      </c>
      <c r="G382" t="s">
        <v>150</v>
      </c>
      <c r="H382">
        <v>23</v>
      </c>
      <c r="I382" t="s">
        <v>122</v>
      </c>
      <c r="J382" t="s">
        <v>113</v>
      </c>
      <c r="K382" t="s">
        <v>113</v>
      </c>
      <c r="L382" t="s">
        <v>33</v>
      </c>
      <c r="M382">
        <v>166480</v>
      </c>
      <c r="N382" t="s">
        <v>47</v>
      </c>
      <c r="O382" t="s">
        <v>75</v>
      </c>
      <c r="P382" t="s">
        <v>89</v>
      </c>
      <c r="Q382" t="s">
        <v>248</v>
      </c>
      <c r="R382" t="s">
        <v>103</v>
      </c>
      <c r="S382" t="str">
        <f t="shared" si="5"/>
        <v>25-34</v>
      </c>
    </row>
    <row r="383" spans="1:19" x14ac:dyDescent="0.3">
      <c r="A383">
        <v>382</v>
      </c>
      <c r="B383" t="s">
        <v>208</v>
      </c>
      <c r="C383" t="s">
        <v>211</v>
      </c>
      <c r="D383" t="s">
        <v>27</v>
      </c>
      <c r="E383" t="s">
        <v>51</v>
      </c>
      <c r="F383">
        <v>37</v>
      </c>
      <c r="G383" t="s">
        <v>42</v>
      </c>
      <c r="H383">
        <v>2</v>
      </c>
      <c r="I383" t="s">
        <v>43</v>
      </c>
      <c r="J383" t="s">
        <v>44</v>
      </c>
      <c r="K383" t="s">
        <v>255</v>
      </c>
      <c r="L383" t="s">
        <v>33</v>
      </c>
      <c r="M383">
        <v>336402</v>
      </c>
      <c r="N383" t="s">
        <v>34</v>
      </c>
      <c r="O383" t="s">
        <v>75</v>
      </c>
      <c r="P383" t="s">
        <v>101</v>
      </c>
      <c r="Q383" t="s">
        <v>125</v>
      </c>
      <c r="R383" t="s">
        <v>38</v>
      </c>
      <c r="S383" t="str">
        <f t="shared" si="5"/>
        <v>35-44</v>
      </c>
    </row>
    <row r="384" spans="1:19" x14ac:dyDescent="0.3">
      <c r="A384">
        <v>383</v>
      </c>
      <c r="B384" t="s">
        <v>329</v>
      </c>
      <c r="C384" t="s">
        <v>183</v>
      </c>
      <c r="D384" t="s">
        <v>224</v>
      </c>
      <c r="E384" t="s">
        <v>51</v>
      </c>
      <c r="F384">
        <v>29</v>
      </c>
      <c r="G384" t="s">
        <v>72</v>
      </c>
      <c r="H384">
        <v>8</v>
      </c>
      <c r="I384" t="s">
        <v>122</v>
      </c>
      <c r="J384" t="s">
        <v>94</v>
      </c>
      <c r="K384" t="s">
        <v>227</v>
      </c>
      <c r="L384" t="s">
        <v>33</v>
      </c>
      <c r="M384">
        <v>148239</v>
      </c>
      <c r="N384" t="s">
        <v>56</v>
      </c>
      <c r="O384" t="s">
        <v>57</v>
      </c>
      <c r="P384" t="s">
        <v>36</v>
      </c>
      <c r="Q384" t="s">
        <v>185</v>
      </c>
      <c r="R384" t="s">
        <v>103</v>
      </c>
      <c r="S384" t="str">
        <f t="shared" si="5"/>
        <v>25-34</v>
      </c>
    </row>
    <row r="385" spans="1:19" x14ac:dyDescent="0.3">
      <c r="A385">
        <v>384</v>
      </c>
      <c r="B385" t="s">
        <v>266</v>
      </c>
      <c r="C385" t="s">
        <v>66</v>
      </c>
      <c r="D385" t="s">
        <v>175</v>
      </c>
      <c r="E385" t="s">
        <v>51</v>
      </c>
      <c r="F385">
        <v>60</v>
      </c>
      <c r="G385" t="s">
        <v>42</v>
      </c>
      <c r="H385">
        <v>13</v>
      </c>
      <c r="I385" t="s">
        <v>43</v>
      </c>
      <c r="J385" t="s">
        <v>94</v>
      </c>
      <c r="K385" t="s">
        <v>306</v>
      </c>
      <c r="L385" t="s">
        <v>206</v>
      </c>
      <c r="M385">
        <v>349460</v>
      </c>
      <c r="N385" t="s">
        <v>47</v>
      </c>
      <c r="O385" t="s">
        <v>57</v>
      </c>
      <c r="P385" t="s">
        <v>169</v>
      </c>
      <c r="Q385" t="s">
        <v>170</v>
      </c>
      <c r="R385" t="s">
        <v>126</v>
      </c>
      <c r="S385" t="str">
        <f t="shared" si="5"/>
        <v>55-65</v>
      </c>
    </row>
    <row r="386" spans="1:19" x14ac:dyDescent="0.3">
      <c r="A386">
        <v>385</v>
      </c>
      <c r="B386" t="s">
        <v>328</v>
      </c>
      <c r="C386" t="s">
        <v>136</v>
      </c>
      <c r="D386" t="s">
        <v>142</v>
      </c>
      <c r="E386" t="s">
        <v>51</v>
      </c>
      <c r="F386">
        <v>38</v>
      </c>
      <c r="G386" t="s">
        <v>72</v>
      </c>
      <c r="H386">
        <v>14</v>
      </c>
      <c r="I386" t="s">
        <v>122</v>
      </c>
      <c r="J386" t="s">
        <v>164</v>
      </c>
      <c r="K386" t="s">
        <v>270</v>
      </c>
      <c r="L386" t="s">
        <v>67</v>
      </c>
      <c r="M386">
        <v>199285</v>
      </c>
      <c r="N386" t="s">
        <v>96</v>
      </c>
      <c r="O386" t="s">
        <v>75</v>
      </c>
      <c r="P386" t="s">
        <v>217</v>
      </c>
      <c r="Q386" t="s">
        <v>220</v>
      </c>
      <c r="R386" t="s">
        <v>83</v>
      </c>
      <c r="S386" t="str">
        <f t="shared" ref="S386:S449" si="6">IF(F386&lt;25,"18-24",IF(F386&lt;35,"25-34",IF(F386&lt;45,"35-44",IF(F386&lt;55,"45-54","55-65"))))</f>
        <v>35-44</v>
      </c>
    </row>
    <row r="387" spans="1:19" x14ac:dyDescent="0.3">
      <c r="A387">
        <v>386</v>
      </c>
      <c r="B387" t="s">
        <v>241</v>
      </c>
      <c r="C387" t="s">
        <v>138</v>
      </c>
      <c r="D387" t="s">
        <v>92</v>
      </c>
      <c r="E387" t="s">
        <v>51</v>
      </c>
      <c r="F387">
        <v>56</v>
      </c>
      <c r="G387" t="s">
        <v>194</v>
      </c>
      <c r="H387">
        <v>24</v>
      </c>
      <c r="I387" t="s">
        <v>65</v>
      </c>
      <c r="J387" t="s">
        <v>113</v>
      </c>
      <c r="K387" t="s">
        <v>290</v>
      </c>
      <c r="L387" t="s">
        <v>55</v>
      </c>
      <c r="M387">
        <v>51605</v>
      </c>
      <c r="N387" t="s">
        <v>34</v>
      </c>
      <c r="O387" t="s">
        <v>57</v>
      </c>
      <c r="P387" t="s">
        <v>97</v>
      </c>
      <c r="Q387" t="s">
        <v>152</v>
      </c>
      <c r="R387" t="s">
        <v>38</v>
      </c>
      <c r="S387" t="str">
        <f t="shared" si="6"/>
        <v>55-65</v>
      </c>
    </row>
    <row r="388" spans="1:19" x14ac:dyDescent="0.3">
      <c r="A388">
        <v>387</v>
      </c>
      <c r="B388" t="s">
        <v>148</v>
      </c>
      <c r="C388" t="s">
        <v>41</v>
      </c>
      <c r="D388" t="s">
        <v>111</v>
      </c>
      <c r="E388" t="s">
        <v>28</v>
      </c>
      <c r="F388">
        <v>24</v>
      </c>
      <c r="G388" t="s">
        <v>107</v>
      </c>
      <c r="H388">
        <v>27</v>
      </c>
      <c r="I388" t="s">
        <v>132</v>
      </c>
      <c r="J388" t="s">
        <v>53</v>
      </c>
      <c r="K388" t="s">
        <v>74</v>
      </c>
      <c r="L388" t="s">
        <v>67</v>
      </c>
      <c r="M388">
        <v>127701</v>
      </c>
      <c r="N388" t="s">
        <v>47</v>
      </c>
      <c r="O388" t="s">
        <v>57</v>
      </c>
      <c r="P388" t="s">
        <v>97</v>
      </c>
      <c r="Q388" t="s">
        <v>278</v>
      </c>
      <c r="R388" t="s">
        <v>126</v>
      </c>
      <c r="S388" t="str">
        <f t="shared" si="6"/>
        <v>18-24</v>
      </c>
    </row>
    <row r="389" spans="1:19" x14ac:dyDescent="0.3">
      <c r="A389">
        <v>388</v>
      </c>
      <c r="B389" t="s">
        <v>316</v>
      </c>
      <c r="C389" t="s">
        <v>154</v>
      </c>
      <c r="D389" t="s">
        <v>160</v>
      </c>
      <c r="E389" t="s">
        <v>28</v>
      </c>
      <c r="F389">
        <v>31</v>
      </c>
      <c r="G389" t="s">
        <v>64</v>
      </c>
      <c r="H389">
        <v>19</v>
      </c>
      <c r="I389" t="s">
        <v>118</v>
      </c>
      <c r="J389" t="s">
        <v>123</v>
      </c>
      <c r="K389" t="s">
        <v>212</v>
      </c>
      <c r="L389" t="s">
        <v>67</v>
      </c>
      <c r="M389">
        <v>278552</v>
      </c>
      <c r="N389" t="s">
        <v>96</v>
      </c>
      <c r="O389" t="s">
        <v>75</v>
      </c>
      <c r="P389" t="s">
        <v>101</v>
      </c>
      <c r="Q389" t="s">
        <v>77</v>
      </c>
      <c r="R389" t="s">
        <v>126</v>
      </c>
      <c r="S389" t="str">
        <f t="shared" si="6"/>
        <v>25-34</v>
      </c>
    </row>
    <row r="390" spans="1:19" x14ac:dyDescent="0.3">
      <c r="A390">
        <v>389</v>
      </c>
      <c r="B390" t="s">
        <v>275</v>
      </c>
      <c r="C390" t="s">
        <v>215</v>
      </c>
      <c r="D390" t="s">
        <v>160</v>
      </c>
      <c r="E390" t="s">
        <v>28</v>
      </c>
      <c r="F390">
        <v>42</v>
      </c>
      <c r="G390" t="s">
        <v>194</v>
      </c>
      <c r="H390">
        <v>24</v>
      </c>
      <c r="I390" t="s">
        <v>65</v>
      </c>
      <c r="J390" t="s">
        <v>164</v>
      </c>
      <c r="K390" t="s">
        <v>209</v>
      </c>
      <c r="L390" t="s">
        <v>55</v>
      </c>
      <c r="M390">
        <v>323046</v>
      </c>
      <c r="N390" t="s">
        <v>47</v>
      </c>
      <c r="O390" t="s">
        <v>57</v>
      </c>
      <c r="P390" t="s">
        <v>101</v>
      </c>
      <c r="Q390" t="s">
        <v>129</v>
      </c>
      <c r="R390" t="s">
        <v>103</v>
      </c>
      <c r="S390" t="str">
        <f t="shared" si="6"/>
        <v>35-44</v>
      </c>
    </row>
    <row r="391" spans="1:19" x14ac:dyDescent="0.3">
      <c r="A391">
        <v>390</v>
      </c>
      <c r="B391" t="s">
        <v>316</v>
      </c>
      <c r="C391" t="s">
        <v>26</v>
      </c>
      <c r="D391" t="s">
        <v>215</v>
      </c>
      <c r="E391" t="s">
        <v>28</v>
      </c>
      <c r="F391">
        <v>21</v>
      </c>
      <c r="G391" t="s">
        <v>150</v>
      </c>
      <c r="H391">
        <v>30</v>
      </c>
      <c r="I391" t="s">
        <v>122</v>
      </c>
      <c r="J391" t="s">
        <v>113</v>
      </c>
      <c r="K391" t="s">
        <v>310</v>
      </c>
      <c r="L391" t="s">
        <v>46</v>
      </c>
      <c r="M391">
        <v>19208</v>
      </c>
      <c r="N391" t="s">
        <v>56</v>
      </c>
      <c r="O391" t="s">
        <v>35</v>
      </c>
      <c r="P391" t="s">
        <v>230</v>
      </c>
      <c r="Q391" t="s">
        <v>250</v>
      </c>
      <c r="R391" t="s">
        <v>83</v>
      </c>
      <c r="S391" t="str">
        <f t="shared" si="6"/>
        <v>18-24</v>
      </c>
    </row>
    <row r="392" spans="1:19" x14ac:dyDescent="0.3">
      <c r="A392">
        <v>391</v>
      </c>
      <c r="B392" t="s">
        <v>238</v>
      </c>
      <c r="C392" t="s">
        <v>149</v>
      </c>
      <c r="D392" t="s">
        <v>189</v>
      </c>
      <c r="E392" t="s">
        <v>28</v>
      </c>
      <c r="F392">
        <v>54</v>
      </c>
      <c r="G392" t="s">
        <v>107</v>
      </c>
      <c r="H392">
        <v>13</v>
      </c>
      <c r="I392" t="s">
        <v>73</v>
      </c>
      <c r="J392" t="s">
        <v>123</v>
      </c>
      <c r="K392" t="s">
        <v>212</v>
      </c>
      <c r="L392" t="s">
        <v>55</v>
      </c>
      <c r="M392">
        <v>81620</v>
      </c>
      <c r="N392" t="s">
        <v>96</v>
      </c>
      <c r="O392" t="s">
        <v>35</v>
      </c>
      <c r="P392" t="s">
        <v>36</v>
      </c>
      <c r="Q392" t="s">
        <v>37</v>
      </c>
      <c r="R392" t="s">
        <v>38</v>
      </c>
      <c r="S392" t="str">
        <f t="shared" si="6"/>
        <v>45-54</v>
      </c>
    </row>
    <row r="393" spans="1:19" x14ac:dyDescent="0.3">
      <c r="A393">
        <v>392</v>
      </c>
      <c r="B393" t="s">
        <v>318</v>
      </c>
      <c r="C393" t="s">
        <v>236</v>
      </c>
      <c r="D393" t="s">
        <v>85</v>
      </c>
      <c r="E393" t="s">
        <v>51</v>
      </c>
      <c r="F393">
        <v>34</v>
      </c>
      <c r="G393" t="s">
        <v>107</v>
      </c>
      <c r="H393">
        <v>2</v>
      </c>
      <c r="I393" t="s">
        <v>73</v>
      </c>
      <c r="J393" t="s">
        <v>94</v>
      </c>
      <c r="K393" t="s">
        <v>271</v>
      </c>
      <c r="L393" t="s">
        <v>67</v>
      </c>
      <c r="M393">
        <v>178129</v>
      </c>
      <c r="N393" t="s">
        <v>115</v>
      </c>
      <c r="O393" t="s">
        <v>57</v>
      </c>
      <c r="P393" t="s">
        <v>101</v>
      </c>
      <c r="Q393" t="s">
        <v>82</v>
      </c>
      <c r="R393" t="s">
        <v>126</v>
      </c>
      <c r="S393" t="str">
        <f t="shared" si="6"/>
        <v>25-34</v>
      </c>
    </row>
    <row r="394" spans="1:19" x14ac:dyDescent="0.3">
      <c r="A394">
        <v>393</v>
      </c>
      <c r="B394" t="s">
        <v>258</v>
      </c>
      <c r="C394" t="s">
        <v>92</v>
      </c>
      <c r="D394" t="s">
        <v>215</v>
      </c>
      <c r="E394" t="s">
        <v>28</v>
      </c>
      <c r="F394">
        <v>65</v>
      </c>
      <c r="G394" t="s">
        <v>150</v>
      </c>
      <c r="H394">
        <v>7</v>
      </c>
      <c r="I394" t="s">
        <v>112</v>
      </c>
      <c r="J394" t="s">
        <v>94</v>
      </c>
      <c r="K394" t="s">
        <v>133</v>
      </c>
      <c r="L394" t="s">
        <v>55</v>
      </c>
      <c r="M394">
        <v>88599</v>
      </c>
      <c r="N394" t="s">
        <v>96</v>
      </c>
      <c r="O394" t="s">
        <v>57</v>
      </c>
      <c r="P394" t="s">
        <v>36</v>
      </c>
      <c r="Q394" t="s">
        <v>161</v>
      </c>
      <c r="R394" t="s">
        <v>126</v>
      </c>
      <c r="S394" t="str">
        <f t="shared" si="6"/>
        <v>55-65</v>
      </c>
    </row>
    <row r="395" spans="1:19" x14ac:dyDescent="0.3">
      <c r="A395">
        <v>394</v>
      </c>
      <c r="B395" t="s">
        <v>197</v>
      </c>
      <c r="C395" t="s">
        <v>121</v>
      </c>
      <c r="D395" t="s">
        <v>136</v>
      </c>
      <c r="E395" t="s">
        <v>28</v>
      </c>
      <c r="F395">
        <v>38</v>
      </c>
      <c r="G395" t="s">
        <v>139</v>
      </c>
      <c r="H395">
        <v>12</v>
      </c>
      <c r="I395" t="s">
        <v>140</v>
      </c>
      <c r="J395" t="s">
        <v>53</v>
      </c>
      <c r="K395" t="s">
        <v>280</v>
      </c>
      <c r="L395" t="s">
        <v>55</v>
      </c>
      <c r="M395">
        <v>231116</v>
      </c>
      <c r="N395" t="s">
        <v>115</v>
      </c>
      <c r="O395" t="s">
        <v>57</v>
      </c>
      <c r="P395" t="s">
        <v>76</v>
      </c>
      <c r="Q395" t="s">
        <v>305</v>
      </c>
      <c r="R395" t="s">
        <v>126</v>
      </c>
      <c r="S395" t="str">
        <f t="shared" si="6"/>
        <v>35-44</v>
      </c>
    </row>
    <row r="396" spans="1:19" x14ac:dyDescent="0.3">
      <c r="A396">
        <v>395</v>
      </c>
      <c r="B396" t="s">
        <v>186</v>
      </c>
      <c r="C396" t="s">
        <v>50</v>
      </c>
      <c r="D396" t="s">
        <v>138</v>
      </c>
      <c r="E396" t="s">
        <v>51</v>
      </c>
      <c r="F396">
        <v>30</v>
      </c>
      <c r="G396" t="s">
        <v>194</v>
      </c>
      <c r="H396">
        <v>30</v>
      </c>
      <c r="I396" t="s">
        <v>65</v>
      </c>
      <c r="J396" t="s">
        <v>164</v>
      </c>
      <c r="K396" t="s">
        <v>179</v>
      </c>
      <c r="L396" t="s">
        <v>33</v>
      </c>
      <c r="M396">
        <v>266418</v>
      </c>
      <c r="N396" t="s">
        <v>34</v>
      </c>
      <c r="O396" t="s">
        <v>75</v>
      </c>
      <c r="P396" t="s">
        <v>76</v>
      </c>
      <c r="Q396" t="s">
        <v>77</v>
      </c>
      <c r="R396" t="s">
        <v>60</v>
      </c>
      <c r="S396" t="str">
        <f t="shared" si="6"/>
        <v>25-34</v>
      </c>
    </row>
    <row r="397" spans="1:19" x14ac:dyDescent="0.3">
      <c r="A397">
        <v>396</v>
      </c>
      <c r="B397" t="s">
        <v>300</v>
      </c>
      <c r="C397" t="s">
        <v>50</v>
      </c>
      <c r="D397" t="s">
        <v>260</v>
      </c>
      <c r="E397" t="s">
        <v>28</v>
      </c>
      <c r="F397">
        <v>37</v>
      </c>
      <c r="G397" t="s">
        <v>194</v>
      </c>
      <c r="H397">
        <v>11</v>
      </c>
      <c r="I397" t="s">
        <v>132</v>
      </c>
      <c r="J397" t="s">
        <v>44</v>
      </c>
      <c r="K397" t="s">
        <v>255</v>
      </c>
      <c r="L397" t="s">
        <v>67</v>
      </c>
      <c r="M397">
        <v>12848</v>
      </c>
      <c r="N397" t="s">
        <v>56</v>
      </c>
      <c r="O397" t="s">
        <v>35</v>
      </c>
      <c r="P397" t="s">
        <v>89</v>
      </c>
      <c r="Q397" t="s">
        <v>225</v>
      </c>
      <c r="R397" t="s">
        <v>38</v>
      </c>
      <c r="S397" t="str">
        <f t="shared" si="6"/>
        <v>35-44</v>
      </c>
    </row>
    <row r="398" spans="1:19" x14ac:dyDescent="0.3">
      <c r="A398">
        <v>397</v>
      </c>
      <c r="B398" t="s">
        <v>289</v>
      </c>
      <c r="C398" t="s">
        <v>236</v>
      </c>
      <c r="D398" t="s">
        <v>211</v>
      </c>
      <c r="E398" t="s">
        <v>51</v>
      </c>
      <c r="F398">
        <v>19</v>
      </c>
      <c r="G398" t="s">
        <v>107</v>
      </c>
      <c r="H398">
        <v>5</v>
      </c>
      <c r="I398" t="s">
        <v>73</v>
      </c>
      <c r="J398" t="s">
        <v>44</v>
      </c>
      <c r="K398" t="s">
        <v>45</v>
      </c>
      <c r="L398" t="s">
        <v>46</v>
      </c>
      <c r="M398">
        <v>317584</v>
      </c>
      <c r="N398" t="s">
        <v>34</v>
      </c>
      <c r="O398" t="s">
        <v>57</v>
      </c>
      <c r="P398" t="s">
        <v>58</v>
      </c>
      <c r="Q398" t="s">
        <v>308</v>
      </c>
      <c r="R398" t="s">
        <v>38</v>
      </c>
      <c r="S398" t="str">
        <f t="shared" si="6"/>
        <v>18-24</v>
      </c>
    </row>
    <row r="399" spans="1:19" x14ac:dyDescent="0.3">
      <c r="A399">
        <v>398</v>
      </c>
      <c r="B399" t="s">
        <v>256</v>
      </c>
      <c r="C399" t="s">
        <v>183</v>
      </c>
      <c r="D399" t="s">
        <v>146</v>
      </c>
      <c r="E399" t="s">
        <v>28</v>
      </c>
      <c r="F399">
        <v>59</v>
      </c>
      <c r="G399" t="s">
        <v>150</v>
      </c>
      <c r="H399">
        <v>9</v>
      </c>
      <c r="I399" t="s">
        <v>112</v>
      </c>
      <c r="J399" t="s">
        <v>113</v>
      </c>
      <c r="K399" t="s">
        <v>313</v>
      </c>
      <c r="L399" t="s">
        <v>55</v>
      </c>
      <c r="M399">
        <v>139083</v>
      </c>
      <c r="N399" t="s">
        <v>47</v>
      </c>
      <c r="O399" t="s">
        <v>35</v>
      </c>
      <c r="P399" t="s">
        <v>97</v>
      </c>
      <c r="Q399" t="s">
        <v>98</v>
      </c>
      <c r="R399" t="s">
        <v>60</v>
      </c>
      <c r="S399" t="str">
        <f t="shared" si="6"/>
        <v>55-65</v>
      </c>
    </row>
    <row r="400" spans="1:19" x14ac:dyDescent="0.3">
      <c r="A400">
        <v>399</v>
      </c>
      <c r="B400" t="s">
        <v>99</v>
      </c>
      <c r="C400" t="s">
        <v>128</v>
      </c>
      <c r="D400" t="s">
        <v>63</v>
      </c>
      <c r="E400" t="s">
        <v>51</v>
      </c>
      <c r="F400">
        <v>49</v>
      </c>
      <c r="G400" t="s">
        <v>42</v>
      </c>
      <c r="H400">
        <v>23</v>
      </c>
      <c r="I400" t="s">
        <v>112</v>
      </c>
      <c r="J400" t="s">
        <v>113</v>
      </c>
      <c r="K400" t="s">
        <v>114</v>
      </c>
      <c r="L400" t="s">
        <v>67</v>
      </c>
      <c r="M400">
        <v>35367</v>
      </c>
      <c r="N400" t="s">
        <v>56</v>
      </c>
      <c r="O400" t="s">
        <v>57</v>
      </c>
      <c r="P400" t="s">
        <v>217</v>
      </c>
      <c r="Q400" t="s">
        <v>218</v>
      </c>
      <c r="R400" t="s">
        <v>126</v>
      </c>
      <c r="S400" t="str">
        <f t="shared" si="6"/>
        <v>45-54</v>
      </c>
    </row>
    <row r="401" spans="1:19" x14ac:dyDescent="0.3">
      <c r="A401">
        <v>400</v>
      </c>
      <c r="B401" t="s">
        <v>264</v>
      </c>
      <c r="C401" t="s">
        <v>143</v>
      </c>
      <c r="D401" t="s">
        <v>224</v>
      </c>
      <c r="E401" t="s">
        <v>28</v>
      </c>
      <c r="F401">
        <v>65</v>
      </c>
      <c r="G401" t="s">
        <v>79</v>
      </c>
      <c r="H401">
        <v>11</v>
      </c>
      <c r="I401" t="s">
        <v>52</v>
      </c>
      <c r="J401" t="s">
        <v>123</v>
      </c>
      <c r="K401" t="s">
        <v>320</v>
      </c>
      <c r="L401" t="s">
        <v>55</v>
      </c>
      <c r="M401">
        <v>124639</v>
      </c>
      <c r="N401" t="s">
        <v>47</v>
      </c>
      <c r="O401" t="s">
        <v>75</v>
      </c>
      <c r="P401" t="s">
        <v>169</v>
      </c>
      <c r="Q401" t="s">
        <v>192</v>
      </c>
      <c r="R401" t="s">
        <v>83</v>
      </c>
      <c r="S401" t="str">
        <f t="shared" si="6"/>
        <v>55-65</v>
      </c>
    </row>
    <row r="402" spans="1:19" x14ac:dyDescent="0.3">
      <c r="A402">
        <v>401</v>
      </c>
      <c r="B402" t="s">
        <v>39</v>
      </c>
      <c r="C402" t="s">
        <v>27</v>
      </c>
      <c r="D402" t="s">
        <v>149</v>
      </c>
      <c r="E402" t="s">
        <v>28</v>
      </c>
      <c r="F402">
        <v>53</v>
      </c>
      <c r="G402" t="s">
        <v>72</v>
      </c>
      <c r="H402">
        <v>9</v>
      </c>
      <c r="I402" t="s">
        <v>122</v>
      </c>
      <c r="J402" t="s">
        <v>123</v>
      </c>
      <c r="K402" t="s">
        <v>123</v>
      </c>
      <c r="L402" t="s">
        <v>206</v>
      </c>
      <c r="M402">
        <v>57339</v>
      </c>
      <c r="N402" t="s">
        <v>115</v>
      </c>
      <c r="O402" t="s">
        <v>35</v>
      </c>
      <c r="P402" t="s">
        <v>230</v>
      </c>
      <c r="Q402" t="s">
        <v>298</v>
      </c>
      <c r="R402" t="s">
        <v>103</v>
      </c>
      <c r="S402" t="str">
        <f t="shared" si="6"/>
        <v>45-54</v>
      </c>
    </row>
    <row r="403" spans="1:19" x14ac:dyDescent="0.3">
      <c r="A403">
        <v>402</v>
      </c>
      <c r="B403" t="s">
        <v>314</v>
      </c>
      <c r="C403" t="s">
        <v>143</v>
      </c>
      <c r="D403" t="s">
        <v>85</v>
      </c>
      <c r="E403" t="s">
        <v>28</v>
      </c>
      <c r="F403">
        <v>46</v>
      </c>
      <c r="G403" t="s">
        <v>144</v>
      </c>
      <c r="H403">
        <v>14</v>
      </c>
      <c r="I403" t="s">
        <v>118</v>
      </c>
      <c r="J403" t="s">
        <v>53</v>
      </c>
      <c r="K403" t="s">
        <v>66</v>
      </c>
      <c r="L403" t="s">
        <v>67</v>
      </c>
      <c r="M403">
        <v>76331</v>
      </c>
      <c r="N403" t="s">
        <v>56</v>
      </c>
      <c r="O403" t="s">
        <v>75</v>
      </c>
      <c r="P403" t="s">
        <v>36</v>
      </c>
      <c r="Q403" t="s">
        <v>161</v>
      </c>
      <c r="R403" t="s">
        <v>38</v>
      </c>
      <c r="S403" t="str">
        <f t="shared" si="6"/>
        <v>45-54</v>
      </c>
    </row>
    <row r="404" spans="1:19" x14ac:dyDescent="0.3">
      <c r="A404">
        <v>403</v>
      </c>
      <c r="B404" t="s">
        <v>120</v>
      </c>
      <c r="C404" t="s">
        <v>146</v>
      </c>
      <c r="D404" t="s">
        <v>86</v>
      </c>
      <c r="E404" t="s">
        <v>28</v>
      </c>
      <c r="F404">
        <v>27</v>
      </c>
      <c r="G404" t="s">
        <v>42</v>
      </c>
      <c r="H404">
        <v>30</v>
      </c>
      <c r="I404" t="s">
        <v>112</v>
      </c>
      <c r="J404" t="s">
        <v>31</v>
      </c>
      <c r="K404" t="s">
        <v>205</v>
      </c>
      <c r="L404" t="s">
        <v>46</v>
      </c>
      <c r="M404">
        <v>114536</v>
      </c>
      <c r="N404" t="s">
        <v>56</v>
      </c>
      <c r="O404" t="s">
        <v>75</v>
      </c>
      <c r="P404" t="s">
        <v>217</v>
      </c>
      <c r="Q404" t="s">
        <v>220</v>
      </c>
      <c r="R404" t="s">
        <v>60</v>
      </c>
      <c r="S404" t="str">
        <f t="shared" si="6"/>
        <v>25-34</v>
      </c>
    </row>
    <row r="405" spans="1:19" x14ac:dyDescent="0.3">
      <c r="A405">
        <v>404</v>
      </c>
      <c r="B405" t="s">
        <v>148</v>
      </c>
      <c r="C405" t="s">
        <v>50</v>
      </c>
      <c r="D405" t="s">
        <v>106</v>
      </c>
      <c r="E405" t="s">
        <v>28</v>
      </c>
      <c r="F405">
        <v>44</v>
      </c>
      <c r="G405" t="s">
        <v>194</v>
      </c>
      <c r="H405">
        <v>25</v>
      </c>
      <c r="I405" t="s">
        <v>65</v>
      </c>
      <c r="J405" t="s">
        <v>53</v>
      </c>
      <c r="K405" t="s">
        <v>213</v>
      </c>
      <c r="L405" t="s">
        <v>55</v>
      </c>
      <c r="M405">
        <v>262235</v>
      </c>
      <c r="N405" t="s">
        <v>115</v>
      </c>
      <c r="O405" t="s">
        <v>35</v>
      </c>
      <c r="P405" t="s">
        <v>230</v>
      </c>
      <c r="Q405" t="s">
        <v>251</v>
      </c>
      <c r="R405" t="s">
        <v>60</v>
      </c>
      <c r="S405" t="str">
        <f t="shared" si="6"/>
        <v>35-44</v>
      </c>
    </row>
    <row r="406" spans="1:19" x14ac:dyDescent="0.3">
      <c r="A406">
        <v>405</v>
      </c>
      <c r="B406" t="s">
        <v>319</v>
      </c>
      <c r="C406" t="s">
        <v>41</v>
      </c>
      <c r="D406" t="s">
        <v>142</v>
      </c>
      <c r="E406" t="s">
        <v>28</v>
      </c>
      <c r="F406">
        <v>56</v>
      </c>
      <c r="G406" t="s">
        <v>150</v>
      </c>
      <c r="H406">
        <v>20</v>
      </c>
      <c r="I406" t="s">
        <v>112</v>
      </c>
      <c r="J406" t="s">
        <v>53</v>
      </c>
      <c r="K406" t="s">
        <v>280</v>
      </c>
      <c r="L406" t="s">
        <v>55</v>
      </c>
      <c r="M406">
        <v>242145</v>
      </c>
      <c r="N406" t="s">
        <v>34</v>
      </c>
      <c r="O406" t="s">
        <v>75</v>
      </c>
      <c r="P406" t="s">
        <v>68</v>
      </c>
      <c r="Q406" t="s">
        <v>173</v>
      </c>
      <c r="R406" t="s">
        <v>103</v>
      </c>
      <c r="S406" t="str">
        <f t="shared" si="6"/>
        <v>55-65</v>
      </c>
    </row>
    <row r="407" spans="1:19" x14ac:dyDescent="0.3">
      <c r="A407">
        <v>406</v>
      </c>
      <c r="B407" t="s">
        <v>39</v>
      </c>
      <c r="C407" t="s">
        <v>40</v>
      </c>
      <c r="D407" t="s">
        <v>236</v>
      </c>
      <c r="E407" t="s">
        <v>28</v>
      </c>
      <c r="F407">
        <v>42</v>
      </c>
      <c r="G407" t="s">
        <v>107</v>
      </c>
      <c r="H407">
        <v>21</v>
      </c>
      <c r="I407" t="s">
        <v>73</v>
      </c>
      <c r="J407" t="s">
        <v>53</v>
      </c>
      <c r="K407" t="s">
        <v>74</v>
      </c>
      <c r="L407" t="s">
        <v>67</v>
      </c>
      <c r="M407">
        <v>52442</v>
      </c>
      <c r="N407" t="s">
        <v>115</v>
      </c>
      <c r="O407" t="s">
        <v>35</v>
      </c>
      <c r="P407" t="s">
        <v>89</v>
      </c>
      <c r="Q407" t="s">
        <v>225</v>
      </c>
      <c r="R407" t="s">
        <v>103</v>
      </c>
      <c r="S407" t="str">
        <f t="shared" si="6"/>
        <v>35-44</v>
      </c>
    </row>
    <row r="408" spans="1:19" x14ac:dyDescent="0.3">
      <c r="A408">
        <v>407</v>
      </c>
      <c r="B408" t="s">
        <v>226</v>
      </c>
      <c r="C408" t="s">
        <v>136</v>
      </c>
      <c r="D408" t="s">
        <v>128</v>
      </c>
      <c r="E408" t="s">
        <v>28</v>
      </c>
      <c r="F408">
        <v>31</v>
      </c>
      <c r="G408" t="s">
        <v>107</v>
      </c>
      <c r="H408">
        <v>22</v>
      </c>
      <c r="I408" t="s">
        <v>132</v>
      </c>
      <c r="J408" t="s">
        <v>31</v>
      </c>
      <c r="K408" t="s">
        <v>311</v>
      </c>
      <c r="L408" t="s">
        <v>206</v>
      </c>
      <c r="M408">
        <v>324851</v>
      </c>
      <c r="N408" t="s">
        <v>56</v>
      </c>
      <c r="O408" t="s">
        <v>57</v>
      </c>
      <c r="P408" t="s">
        <v>101</v>
      </c>
      <c r="Q408" t="s">
        <v>125</v>
      </c>
      <c r="R408" t="s">
        <v>83</v>
      </c>
      <c r="S408" t="str">
        <f t="shared" si="6"/>
        <v>25-34</v>
      </c>
    </row>
    <row r="409" spans="1:19" x14ac:dyDescent="0.3">
      <c r="A409">
        <v>408</v>
      </c>
      <c r="B409" t="s">
        <v>288</v>
      </c>
      <c r="C409" t="s">
        <v>221</v>
      </c>
      <c r="D409" t="s">
        <v>92</v>
      </c>
      <c r="E409" t="s">
        <v>51</v>
      </c>
      <c r="F409">
        <v>64</v>
      </c>
      <c r="G409" t="s">
        <v>194</v>
      </c>
      <c r="H409">
        <v>20</v>
      </c>
      <c r="I409" t="s">
        <v>65</v>
      </c>
      <c r="J409" t="s">
        <v>44</v>
      </c>
      <c r="K409" t="s">
        <v>184</v>
      </c>
      <c r="L409" t="s">
        <v>46</v>
      </c>
      <c r="M409">
        <v>215969</v>
      </c>
      <c r="N409" t="s">
        <v>56</v>
      </c>
      <c r="O409" t="s">
        <v>75</v>
      </c>
      <c r="P409" t="s">
        <v>76</v>
      </c>
      <c r="Q409" t="s">
        <v>200</v>
      </c>
      <c r="R409" t="s">
        <v>126</v>
      </c>
      <c r="S409" t="str">
        <f t="shared" si="6"/>
        <v>55-65</v>
      </c>
    </row>
    <row r="410" spans="1:19" x14ac:dyDescent="0.3">
      <c r="A410">
        <v>409</v>
      </c>
      <c r="B410" t="s">
        <v>309</v>
      </c>
      <c r="C410" t="s">
        <v>273</v>
      </c>
      <c r="D410" t="s">
        <v>138</v>
      </c>
      <c r="E410" t="s">
        <v>28</v>
      </c>
      <c r="F410">
        <v>51</v>
      </c>
      <c r="G410" t="s">
        <v>198</v>
      </c>
      <c r="H410">
        <v>27</v>
      </c>
      <c r="I410" t="s">
        <v>43</v>
      </c>
      <c r="J410" t="s">
        <v>113</v>
      </c>
      <c r="K410" t="s">
        <v>292</v>
      </c>
      <c r="L410" t="s">
        <v>33</v>
      </c>
      <c r="M410">
        <v>344422</v>
      </c>
      <c r="N410" t="s">
        <v>56</v>
      </c>
      <c r="O410" t="s">
        <v>57</v>
      </c>
      <c r="P410" t="s">
        <v>36</v>
      </c>
      <c r="Q410" t="s">
        <v>48</v>
      </c>
      <c r="R410" t="s">
        <v>126</v>
      </c>
      <c r="S410" t="str">
        <f t="shared" si="6"/>
        <v>45-54</v>
      </c>
    </row>
    <row r="411" spans="1:19" x14ac:dyDescent="0.3">
      <c r="A411">
        <v>410</v>
      </c>
      <c r="B411" t="s">
        <v>177</v>
      </c>
      <c r="C411" t="s">
        <v>260</v>
      </c>
      <c r="D411" t="s">
        <v>138</v>
      </c>
      <c r="E411" t="s">
        <v>28</v>
      </c>
      <c r="F411">
        <v>47</v>
      </c>
      <c r="G411" t="s">
        <v>139</v>
      </c>
      <c r="H411">
        <v>29</v>
      </c>
      <c r="I411" t="s">
        <v>199</v>
      </c>
      <c r="J411" t="s">
        <v>53</v>
      </c>
      <c r="K411" t="s">
        <v>188</v>
      </c>
      <c r="L411" t="s">
        <v>33</v>
      </c>
      <c r="M411">
        <v>106575</v>
      </c>
      <c r="N411" t="s">
        <v>56</v>
      </c>
      <c r="O411" t="s">
        <v>35</v>
      </c>
      <c r="P411" t="s">
        <v>169</v>
      </c>
      <c r="Q411" t="s">
        <v>265</v>
      </c>
      <c r="R411" t="s">
        <v>103</v>
      </c>
      <c r="S411" t="str">
        <f t="shared" si="6"/>
        <v>45-54</v>
      </c>
    </row>
    <row r="412" spans="1:19" x14ac:dyDescent="0.3">
      <c r="A412">
        <v>411</v>
      </c>
      <c r="B412" t="s">
        <v>318</v>
      </c>
      <c r="C412" t="s">
        <v>106</v>
      </c>
      <c r="D412" t="s">
        <v>163</v>
      </c>
      <c r="E412" t="s">
        <v>51</v>
      </c>
      <c r="F412">
        <v>62</v>
      </c>
      <c r="G412" t="s">
        <v>64</v>
      </c>
      <c r="H412">
        <v>6</v>
      </c>
      <c r="I412" t="s">
        <v>65</v>
      </c>
      <c r="J412" t="s">
        <v>164</v>
      </c>
      <c r="K412" t="s">
        <v>209</v>
      </c>
      <c r="L412" t="s">
        <v>55</v>
      </c>
      <c r="M412">
        <v>140608</v>
      </c>
      <c r="N412" t="s">
        <v>96</v>
      </c>
      <c r="O412" t="s">
        <v>35</v>
      </c>
      <c r="P412" t="s">
        <v>36</v>
      </c>
      <c r="Q412" t="s">
        <v>161</v>
      </c>
      <c r="R412" t="s">
        <v>38</v>
      </c>
      <c r="S412" t="str">
        <f t="shared" si="6"/>
        <v>55-65</v>
      </c>
    </row>
    <row r="413" spans="1:19" x14ac:dyDescent="0.3">
      <c r="A413">
        <v>412</v>
      </c>
      <c r="B413" t="s">
        <v>91</v>
      </c>
      <c r="C413" t="s">
        <v>86</v>
      </c>
      <c r="D413" t="s">
        <v>183</v>
      </c>
      <c r="E413" t="s">
        <v>51</v>
      </c>
      <c r="F413">
        <v>62</v>
      </c>
      <c r="G413" t="s">
        <v>198</v>
      </c>
      <c r="H413">
        <v>3</v>
      </c>
      <c r="I413" t="s">
        <v>199</v>
      </c>
      <c r="J413" t="s">
        <v>53</v>
      </c>
      <c r="K413" t="s">
        <v>66</v>
      </c>
      <c r="L413" t="s">
        <v>206</v>
      </c>
      <c r="M413">
        <v>36461</v>
      </c>
      <c r="N413" t="s">
        <v>47</v>
      </c>
      <c r="O413" t="s">
        <v>35</v>
      </c>
      <c r="P413" t="s">
        <v>169</v>
      </c>
      <c r="Q413" t="s">
        <v>192</v>
      </c>
      <c r="R413" t="s">
        <v>126</v>
      </c>
      <c r="S413" t="str">
        <f t="shared" si="6"/>
        <v>55-65</v>
      </c>
    </row>
    <row r="414" spans="1:19" x14ac:dyDescent="0.3">
      <c r="A414">
        <v>413</v>
      </c>
      <c r="B414" t="s">
        <v>269</v>
      </c>
      <c r="C414" t="s">
        <v>211</v>
      </c>
      <c r="D414" t="s">
        <v>66</v>
      </c>
      <c r="E414" t="s">
        <v>51</v>
      </c>
      <c r="F414">
        <v>28</v>
      </c>
      <c r="G414" t="s">
        <v>139</v>
      </c>
      <c r="H414">
        <v>18</v>
      </c>
      <c r="I414" t="s">
        <v>140</v>
      </c>
      <c r="J414" t="s">
        <v>123</v>
      </c>
      <c r="K414" t="s">
        <v>123</v>
      </c>
      <c r="L414" t="s">
        <v>67</v>
      </c>
      <c r="M414">
        <v>305600</v>
      </c>
      <c r="N414" t="s">
        <v>115</v>
      </c>
      <c r="O414" t="s">
        <v>35</v>
      </c>
      <c r="P414" t="s">
        <v>76</v>
      </c>
      <c r="Q414" t="s">
        <v>305</v>
      </c>
      <c r="R414" t="s">
        <v>38</v>
      </c>
      <c r="S414" t="str">
        <f t="shared" si="6"/>
        <v>25-34</v>
      </c>
    </row>
    <row r="415" spans="1:19" x14ac:dyDescent="0.3">
      <c r="A415">
        <v>414</v>
      </c>
      <c r="B415" t="s">
        <v>314</v>
      </c>
      <c r="C415" t="s">
        <v>160</v>
      </c>
      <c r="D415" t="s">
        <v>160</v>
      </c>
      <c r="E415" t="s">
        <v>28</v>
      </c>
      <c r="F415">
        <v>58</v>
      </c>
      <c r="G415" t="s">
        <v>107</v>
      </c>
      <c r="H415">
        <v>25</v>
      </c>
      <c r="I415" t="s">
        <v>132</v>
      </c>
      <c r="J415" t="s">
        <v>123</v>
      </c>
      <c r="K415" t="s">
        <v>327</v>
      </c>
      <c r="L415" t="s">
        <v>67</v>
      </c>
      <c r="M415">
        <v>314997</v>
      </c>
      <c r="N415" t="s">
        <v>34</v>
      </c>
      <c r="O415" t="s">
        <v>75</v>
      </c>
      <c r="P415" t="s">
        <v>169</v>
      </c>
      <c r="Q415" t="s">
        <v>192</v>
      </c>
      <c r="R415" t="s">
        <v>83</v>
      </c>
      <c r="S415" t="str">
        <f t="shared" si="6"/>
        <v>55-65</v>
      </c>
    </row>
    <row r="416" spans="1:19" x14ac:dyDescent="0.3">
      <c r="A416">
        <v>415</v>
      </c>
      <c r="B416" t="s">
        <v>104</v>
      </c>
      <c r="C416" t="s">
        <v>117</v>
      </c>
      <c r="D416" t="s">
        <v>117</v>
      </c>
      <c r="E416" t="s">
        <v>28</v>
      </c>
      <c r="F416">
        <v>33</v>
      </c>
      <c r="G416" t="s">
        <v>42</v>
      </c>
      <c r="H416">
        <v>26</v>
      </c>
      <c r="I416" t="s">
        <v>112</v>
      </c>
      <c r="J416" t="s">
        <v>113</v>
      </c>
      <c r="K416" t="s">
        <v>323</v>
      </c>
      <c r="L416" t="s">
        <v>206</v>
      </c>
      <c r="M416">
        <v>232517</v>
      </c>
      <c r="N416" t="s">
        <v>96</v>
      </c>
      <c r="O416" t="s">
        <v>57</v>
      </c>
      <c r="P416" t="s">
        <v>68</v>
      </c>
      <c r="Q416" t="s">
        <v>267</v>
      </c>
      <c r="R416" t="s">
        <v>60</v>
      </c>
      <c r="S416" t="str">
        <f t="shared" si="6"/>
        <v>25-34</v>
      </c>
    </row>
    <row r="417" spans="1:19" x14ac:dyDescent="0.3">
      <c r="A417">
        <v>416</v>
      </c>
      <c r="B417" t="s">
        <v>174</v>
      </c>
      <c r="C417" t="s">
        <v>167</v>
      </c>
      <c r="D417" t="s">
        <v>27</v>
      </c>
      <c r="E417" t="s">
        <v>28</v>
      </c>
      <c r="F417">
        <v>21</v>
      </c>
      <c r="G417" t="s">
        <v>150</v>
      </c>
      <c r="H417">
        <v>21</v>
      </c>
      <c r="I417" t="s">
        <v>112</v>
      </c>
      <c r="J417" t="s">
        <v>94</v>
      </c>
      <c r="K417" t="s">
        <v>210</v>
      </c>
      <c r="L417" t="s">
        <v>55</v>
      </c>
      <c r="M417">
        <v>23997</v>
      </c>
      <c r="N417" t="s">
        <v>34</v>
      </c>
      <c r="O417" t="s">
        <v>35</v>
      </c>
      <c r="P417" t="s">
        <v>169</v>
      </c>
      <c r="Q417" t="s">
        <v>207</v>
      </c>
      <c r="R417" t="s">
        <v>60</v>
      </c>
      <c r="S417" t="str">
        <f t="shared" si="6"/>
        <v>18-24</v>
      </c>
    </row>
    <row r="418" spans="1:19" x14ac:dyDescent="0.3">
      <c r="A418">
        <v>417</v>
      </c>
      <c r="B418" t="s">
        <v>49</v>
      </c>
      <c r="C418" t="s">
        <v>204</v>
      </c>
      <c r="D418" t="s">
        <v>149</v>
      </c>
      <c r="E418" t="s">
        <v>51</v>
      </c>
      <c r="F418">
        <v>61</v>
      </c>
      <c r="G418" t="s">
        <v>64</v>
      </c>
      <c r="H418">
        <v>14</v>
      </c>
      <c r="I418" t="s">
        <v>65</v>
      </c>
      <c r="J418" t="s">
        <v>31</v>
      </c>
      <c r="K418" t="s">
        <v>331</v>
      </c>
      <c r="L418" t="s">
        <v>46</v>
      </c>
      <c r="M418">
        <v>233019</v>
      </c>
      <c r="N418" t="s">
        <v>56</v>
      </c>
      <c r="O418" t="s">
        <v>75</v>
      </c>
      <c r="P418" t="s">
        <v>230</v>
      </c>
      <c r="Q418" t="s">
        <v>250</v>
      </c>
      <c r="R418" t="s">
        <v>38</v>
      </c>
      <c r="S418" t="str">
        <f t="shared" si="6"/>
        <v>55-65</v>
      </c>
    </row>
    <row r="419" spans="1:19" x14ac:dyDescent="0.3">
      <c r="A419">
        <v>418</v>
      </c>
      <c r="B419" t="s">
        <v>91</v>
      </c>
      <c r="C419" t="s">
        <v>93</v>
      </c>
      <c r="D419" t="s">
        <v>172</v>
      </c>
      <c r="E419" t="s">
        <v>51</v>
      </c>
      <c r="F419">
        <v>41</v>
      </c>
      <c r="G419" t="s">
        <v>64</v>
      </c>
      <c r="H419">
        <v>25</v>
      </c>
      <c r="I419" t="s">
        <v>118</v>
      </c>
      <c r="J419" t="s">
        <v>53</v>
      </c>
      <c r="K419" t="s">
        <v>66</v>
      </c>
      <c r="L419" t="s">
        <v>46</v>
      </c>
      <c r="M419">
        <v>266662</v>
      </c>
      <c r="N419" t="s">
        <v>34</v>
      </c>
      <c r="O419" t="s">
        <v>57</v>
      </c>
      <c r="P419" t="s">
        <v>58</v>
      </c>
      <c r="Q419" t="s">
        <v>59</v>
      </c>
      <c r="R419" t="s">
        <v>103</v>
      </c>
      <c r="S419" t="str">
        <f t="shared" si="6"/>
        <v>35-44</v>
      </c>
    </row>
    <row r="420" spans="1:19" x14ac:dyDescent="0.3">
      <c r="A420">
        <v>419</v>
      </c>
      <c r="B420" t="s">
        <v>197</v>
      </c>
      <c r="C420" t="s">
        <v>146</v>
      </c>
      <c r="D420" t="s">
        <v>27</v>
      </c>
      <c r="E420" t="s">
        <v>28</v>
      </c>
      <c r="F420">
        <v>31</v>
      </c>
      <c r="G420" t="s">
        <v>87</v>
      </c>
      <c r="H420">
        <v>17</v>
      </c>
      <c r="I420" t="s">
        <v>80</v>
      </c>
      <c r="J420" t="s">
        <v>123</v>
      </c>
      <c r="K420" t="s">
        <v>124</v>
      </c>
      <c r="L420" t="s">
        <v>46</v>
      </c>
      <c r="M420">
        <v>25074</v>
      </c>
      <c r="N420" t="s">
        <v>56</v>
      </c>
      <c r="O420" t="s">
        <v>35</v>
      </c>
      <c r="P420" t="s">
        <v>68</v>
      </c>
      <c r="Q420" t="s">
        <v>267</v>
      </c>
      <c r="R420" t="s">
        <v>103</v>
      </c>
      <c r="S420" t="str">
        <f t="shared" si="6"/>
        <v>25-34</v>
      </c>
    </row>
    <row r="421" spans="1:19" x14ac:dyDescent="0.3">
      <c r="A421">
        <v>420</v>
      </c>
      <c r="B421" t="s">
        <v>135</v>
      </c>
      <c r="C421" t="s">
        <v>40</v>
      </c>
      <c r="D421" t="s">
        <v>187</v>
      </c>
      <c r="E421" t="s">
        <v>51</v>
      </c>
      <c r="F421">
        <v>40</v>
      </c>
      <c r="G421" t="s">
        <v>79</v>
      </c>
      <c r="H421">
        <v>17</v>
      </c>
      <c r="I421" t="s">
        <v>52</v>
      </c>
      <c r="J421" t="s">
        <v>94</v>
      </c>
      <c r="K421" t="s">
        <v>133</v>
      </c>
      <c r="L421" t="s">
        <v>46</v>
      </c>
      <c r="M421">
        <v>199109</v>
      </c>
      <c r="N421" t="s">
        <v>96</v>
      </c>
      <c r="O421" t="s">
        <v>57</v>
      </c>
      <c r="P421" t="s">
        <v>169</v>
      </c>
      <c r="Q421" t="s">
        <v>170</v>
      </c>
      <c r="R421" t="s">
        <v>38</v>
      </c>
      <c r="S421" t="str">
        <f t="shared" si="6"/>
        <v>35-44</v>
      </c>
    </row>
    <row r="422" spans="1:19" x14ac:dyDescent="0.3">
      <c r="A422">
        <v>421</v>
      </c>
      <c r="B422" t="s">
        <v>256</v>
      </c>
      <c r="C422" t="s">
        <v>183</v>
      </c>
      <c r="D422" t="s">
        <v>105</v>
      </c>
      <c r="E422" t="s">
        <v>28</v>
      </c>
      <c r="F422">
        <v>65</v>
      </c>
      <c r="G422" t="s">
        <v>64</v>
      </c>
      <c r="H422">
        <v>1</v>
      </c>
      <c r="I422" t="s">
        <v>65</v>
      </c>
      <c r="J422" t="s">
        <v>123</v>
      </c>
      <c r="K422" t="s">
        <v>245</v>
      </c>
      <c r="L422" t="s">
        <v>206</v>
      </c>
      <c r="M422">
        <v>349651</v>
      </c>
      <c r="N422" t="s">
        <v>34</v>
      </c>
      <c r="O422" t="s">
        <v>57</v>
      </c>
      <c r="P422" t="s">
        <v>68</v>
      </c>
      <c r="Q422" t="s">
        <v>267</v>
      </c>
      <c r="R422" t="s">
        <v>83</v>
      </c>
      <c r="S422" t="str">
        <f t="shared" si="6"/>
        <v>55-65</v>
      </c>
    </row>
    <row r="423" spans="1:19" x14ac:dyDescent="0.3">
      <c r="A423">
        <v>422</v>
      </c>
      <c r="B423" t="s">
        <v>317</v>
      </c>
      <c r="C423" t="s">
        <v>249</v>
      </c>
      <c r="D423" t="s">
        <v>183</v>
      </c>
      <c r="E423" t="s">
        <v>28</v>
      </c>
      <c r="F423">
        <v>37</v>
      </c>
      <c r="G423" t="s">
        <v>107</v>
      </c>
      <c r="H423">
        <v>10</v>
      </c>
      <c r="I423" t="s">
        <v>73</v>
      </c>
      <c r="J423" t="s">
        <v>53</v>
      </c>
      <c r="K423" t="s">
        <v>54</v>
      </c>
      <c r="L423" t="s">
        <v>33</v>
      </c>
      <c r="M423">
        <v>194748</v>
      </c>
      <c r="N423" t="s">
        <v>34</v>
      </c>
      <c r="O423" t="s">
        <v>75</v>
      </c>
      <c r="P423" t="s">
        <v>230</v>
      </c>
      <c r="Q423" t="s">
        <v>250</v>
      </c>
      <c r="R423" t="s">
        <v>83</v>
      </c>
      <c r="S423" t="str">
        <f t="shared" si="6"/>
        <v>35-44</v>
      </c>
    </row>
    <row r="424" spans="1:19" x14ac:dyDescent="0.3">
      <c r="A424">
        <v>423</v>
      </c>
      <c r="B424" t="s">
        <v>196</v>
      </c>
      <c r="C424" t="s">
        <v>106</v>
      </c>
      <c r="D424" t="s">
        <v>85</v>
      </c>
      <c r="E424" t="s">
        <v>51</v>
      </c>
      <c r="F424">
        <v>30</v>
      </c>
      <c r="G424" t="s">
        <v>150</v>
      </c>
      <c r="H424">
        <v>31</v>
      </c>
      <c r="I424" t="s">
        <v>122</v>
      </c>
      <c r="J424" t="s">
        <v>113</v>
      </c>
      <c r="K424" t="s">
        <v>330</v>
      </c>
      <c r="L424" t="s">
        <v>206</v>
      </c>
      <c r="M424">
        <v>323187</v>
      </c>
      <c r="N424" t="s">
        <v>96</v>
      </c>
      <c r="O424" t="s">
        <v>35</v>
      </c>
      <c r="P424" t="s">
        <v>76</v>
      </c>
      <c r="Q424" t="s">
        <v>272</v>
      </c>
      <c r="R424" t="s">
        <v>38</v>
      </c>
      <c r="S424" t="str">
        <f t="shared" si="6"/>
        <v>25-34</v>
      </c>
    </row>
    <row r="425" spans="1:19" x14ac:dyDescent="0.3">
      <c r="A425">
        <v>424</v>
      </c>
      <c r="B425" t="s">
        <v>304</v>
      </c>
      <c r="C425" t="s">
        <v>249</v>
      </c>
      <c r="D425" t="s">
        <v>71</v>
      </c>
      <c r="E425" t="s">
        <v>51</v>
      </c>
      <c r="F425">
        <v>44</v>
      </c>
      <c r="G425" t="s">
        <v>42</v>
      </c>
      <c r="H425">
        <v>29</v>
      </c>
      <c r="I425" t="s">
        <v>112</v>
      </c>
      <c r="J425" t="s">
        <v>53</v>
      </c>
      <c r="K425" t="s">
        <v>141</v>
      </c>
      <c r="L425" t="s">
        <v>55</v>
      </c>
      <c r="M425">
        <v>108274</v>
      </c>
      <c r="N425" t="s">
        <v>56</v>
      </c>
      <c r="O425" t="s">
        <v>75</v>
      </c>
      <c r="P425" t="s">
        <v>97</v>
      </c>
      <c r="Q425" t="s">
        <v>152</v>
      </c>
      <c r="R425" t="s">
        <v>60</v>
      </c>
      <c r="S425" t="str">
        <f t="shared" si="6"/>
        <v>35-44</v>
      </c>
    </row>
    <row r="426" spans="1:19" x14ac:dyDescent="0.3">
      <c r="A426">
        <v>425</v>
      </c>
      <c r="B426" t="s">
        <v>297</v>
      </c>
      <c r="C426" t="s">
        <v>189</v>
      </c>
      <c r="D426" t="s">
        <v>181</v>
      </c>
      <c r="E426" t="s">
        <v>28</v>
      </c>
      <c r="F426">
        <v>19</v>
      </c>
      <c r="G426" t="s">
        <v>87</v>
      </c>
      <c r="H426">
        <v>3</v>
      </c>
      <c r="I426" t="s">
        <v>80</v>
      </c>
      <c r="J426" t="s">
        <v>31</v>
      </c>
      <c r="K426" t="s">
        <v>276</v>
      </c>
      <c r="L426" t="s">
        <v>67</v>
      </c>
      <c r="M426">
        <v>221146</v>
      </c>
      <c r="N426" t="s">
        <v>56</v>
      </c>
      <c r="O426" t="s">
        <v>75</v>
      </c>
      <c r="P426" t="s">
        <v>76</v>
      </c>
      <c r="Q426" t="s">
        <v>200</v>
      </c>
      <c r="R426" t="s">
        <v>103</v>
      </c>
      <c r="S426" t="str">
        <f t="shared" si="6"/>
        <v>18-24</v>
      </c>
    </row>
    <row r="427" spans="1:19" x14ac:dyDescent="0.3">
      <c r="A427">
        <v>426</v>
      </c>
      <c r="B427" t="s">
        <v>275</v>
      </c>
      <c r="C427" t="s">
        <v>62</v>
      </c>
      <c r="D427" t="s">
        <v>142</v>
      </c>
      <c r="E427" t="s">
        <v>28</v>
      </c>
      <c r="F427">
        <v>63</v>
      </c>
      <c r="G427" t="s">
        <v>79</v>
      </c>
      <c r="H427">
        <v>23</v>
      </c>
      <c r="I427" t="s">
        <v>80</v>
      </c>
      <c r="J427" t="s">
        <v>164</v>
      </c>
      <c r="K427" t="s">
        <v>284</v>
      </c>
      <c r="L427" t="s">
        <v>206</v>
      </c>
      <c r="M427">
        <v>147785</v>
      </c>
      <c r="N427" t="s">
        <v>115</v>
      </c>
      <c r="O427" t="s">
        <v>57</v>
      </c>
      <c r="P427" t="s">
        <v>97</v>
      </c>
      <c r="Q427" t="s">
        <v>243</v>
      </c>
      <c r="R427" t="s">
        <v>103</v>
      </c>
      <c r="S427" t="str">
        <f t="shared" si="6"/>
        <v>55-65</v>
      </c>
    </row>
    <row r="428" spans="1:19" x14ac:dyDescent="0.3">
      <c r="A428">
        <v>427</v>
      </c>
      <c r="B428" t="s">
        <v>130</v>
      </c>
      <c r="C428" t="s">
        <v>224</v>
      </c>
      <c r="D428" t="s">
        <v>160</v>
      </c>
      <c r="E428" t="s">
        <v>51</v>
      </c>
      <c r="F428">
        <v>30</v>
      </c>
      <c r="G428" t="s">
        <v>144</v>
      </c>
      <c r="H428">
        <v>4</v>
      </c>
      <c r="I428" t="s">
        <v>118</v>
      </c>
      <c r="J428" t="s">
        <v>53</v>
      </c>
      <c r="K428" t="s">
        <v>53</v>
      </c>
      <c r="L428" t="s">
        <v>206</v>
      </c>
      <c r="M428">
        <v>179568</v>
      </c>
      <c r="N428" t="s">
        <v>56</v>
      </c>
      <c r="O428" t="s">
        <v>35</v>
      </c>
      <c r="P428" t="s">
        <v>101</v>
      </c>
      <c r="Q428" t="s">
        <v>82</v>
      </c>
      <c r="R428" t="s">
        <v>38</v>
      </c>
      <c r="S428" t="str">
        <f t="shared" si="6"/>
        <v>25-34</v>
      </c>
    </row>
    <row r="429" spans="1:19" x14ac:dyDescent="0.3">
      <c r="A429">
        <v>428</v>
      </c>
      <c r="B429" t="s">
        <v>235</v>
      </c>
      <c r="C429" t="s">
        <v>106</v>
      </c>
      <c r="D429" t="s">
        <v>224</v>
      </c>
      <c r="E429" t="s">
        <v>51</v>
      </c>
      <c r="F429">
        <v>24</v>
      </c>
      <c r="G429" t="s">
        <v>79</v>
      </c>
      <c r="H429">
        <v>25</v>
      </c>
      <c r="I429" t="s">
        <v>80</v>
      </c>
      <c r="J429" t="s">
        <v>53</v>
      </c>
      <c r="K429" t="s">
        <v>74</v>
      </c>
      <c r="L429" t="s">
        <v>33</v>
      </c>
      <c r="M429">
        <v>75790</v>
      </c>
      <c r="N429" t="s">
        <v>96</v>
      </c>
      <c r="O429" t="s">
        <v>57</v>
      </c>
      <c r="P429" t="s">
        <v>36</v>
      </c>
      <c r="Q429" t="s">
        <v>161</v>
      </c>
      <c r="R429" t="s">
        <v>126</v>
      </c>
      <c r="S429" t="str">
        <f t="shared" si="6"/>
        <v>18-24</v>
      </c>
    </row>
    <row r="430" spans="1:19" x14ac:dyDescent="0.3">
      <c r="A430">
        <v>429</v>
      </c>
      <c r="B430" t="s">
        <v>317</v>
      </c>
      <c r="C430" t="s">
        <v>160</v>
      </c>
      <c r="D430" t="s">
        <v>172</v>
      </c>
      <c r="E430" t="s">
        <v>28</v>
      </c>
      <c r="F430">
        <v>39</v>
      </c>
      <c r="G430" t="s">
        <v>72</v>
      </c>
      <c r="H430">
        <v>28</v>
      </c>
      <c r="I430" t="s">
        <v>73</v>
      </c>
      <c r="J430" t="s">
        <v>94</v>
      </c>
      <c r="K430" t="s">
        <v>268</v>
      </c>
      <c r="L430" t="s">
        <v>55</v>
      </c>
      <c r="M430">
        <v>40570</v>
      </c>
      <c r="N430" t="s">
        <v>34</v>
      </c>
      <c r="O430" t="s">
        <v>75</v>
      </c>
      <c r="P430" t="s">
        <v>89</v>
      </c>
      <c r="Q430" t="s">
        <v>248</v>
      </c>
      <c r="R430" t="s">
        <v>83</v>
      </c>
      <c r="S430" t="str">
        <f t="shared" si="6"/>
        <v>35-44</v>
      </c>
    </row>
    <row r="431" spans="1:19" x14ac:dyDescent="0.3">
      <c r="A431">
        <v>430</v>
      </c>
      <c r="B431" t="s">
        <v>148</v>
      </c>
      <c r="C431" t="s">
        <v>183</v>
      </c>
      <c r="D431" t="s">
        <v>183</v>
      </c>
      <c r="E431" t="s">
        <v>28</v>
      </c>
      <c r="F431">
        <v>46</v>
      </c>
      <c r="G431" t="s">
        <v>79</v>
      </c>
      <c r="H431">
        <v>9</v>
      </c>
      <c r="I431" t="s">
        <v>52</v>
      </c>
      <c r="J431" t="s">
        <v>94</v>
      </c>
      <c r="K431" t="s">
        <v>306</v>
      </c>
      <c r="L431" t="s">
        <v>55</v>
      </c>
      <c r="M431">
        <v>56516</v>
      </c>
      <c r="N431" t="s">
        <v>34</v>
      </c>
      <c r="O431" t="s">
        <v>35</v>
      </c>
      <c r="P431" t="s">
        <v>101</v>
      </c>
      <c r="Q431" t="s">
        <v>77</v>
      </c>
      <c r="R431" t="s">
        <v>126</v>
      </c>
      <c r="S431" t="str">
        <f t="shared" si="6"/>
        <v>45-54</v>
      </c>
    </row>
    <row r="432" spans="1:19" x14ac:dyDescent="0.3">
      <c r="A432">
        <v>431</v>
      </c>
      <c r="B432" t="s">
        <v>84</v>
      </c>
      <c r="C432" t="s">
        <v>110</v>
      </c>
      <c r="D432" t="s">
        <v>178</v>
      </c>
      <c r="E432" t="s">
        <v>28</v>
      </c>
      <c r="F432">
        <v>63</v>
      </c>
      <c r="G432" t="s">
        <v>42</v>
      </c>
      <c r="H432">
        <v>11</v>
      </c>
      <c r="I432" t="s">
        <v>43</v>
      </c>
      <c r="J432" t="s">
        <v>53</v>
      </c>
      <c r="K432" t="s">
        <v>74</v>
      </c>
      <c r="L432" t="s">
        <v>33</v>
      </c>
      <c r="M432">
        <v>89465</v>
      </c>
      <c r="N432" t="s">
        <v>47</v>
      </c>
      <c r="O432" t="s">
        <v>75</v>
      </c>
      <c r="P432" t="s">
        <v>230</v>
      </c>
      <c r="Q432" t="s">
        <v>250</v>
      </c>
      <c r="R432" t="s">
        <v>83</v>
      </c>
      <c r="S432" t="str">
        <f t="shared" si="6"/>
        <v>55-65</v>
      </c>
    </row>
    <row r="433" spans="1:19" x14ac:dyDescent="0.3">
      <c r="A433">
        <v>432</v>
      </c>
      <c r="B433" t="s">
        <v>208</v>
      </c>
      <c r="C433" t="s">
        <v>131</v>
      </c>
      <c r="D433" t="s">
        <v>41</v>
      </c>
      <c r="E433" t="s">
        <v>51</v>
      </c>
      <c r="F433">
        <v>24</v>
      </c>
      <c r="G433" t="s">
        <v>198</v>
      </c>
      <c r="H433">
        <v>29</v>
      </c>
      <c r="I433" t="s">
        <v>43</v>
      </c>
      <c r="J433" t="s">
        <v>44</v>
      </c>
      <c r="K433" t="s">
        <v>44</v>
      </c>
      <c r="L433" t="s">
        <v>206</v>
      </c>
      <c r="M433">
        <v>34711</v>
      </c>
      <c r="N433" t="s">
        <v>115</v>
      </c>
      <c r="O433" t="s">
        <v>75</v>
      </c>
      <c r="P433" t="s">
        <v>58</v>
      </c>
      <c r="Q433" t="s">
        <v>59</v>
      </c>
      <c r="R433" t="s">
        <v>126</v>
      </c>
      <c r="S433" t="str">
        <f t="shared" si="6"/>
        <v>18-24</v>
      </c>
    </row>
    <row r="434" spans="1:19" x14ac:dyDescent="0.3">
      <c r="A434">
        <v>433</v>
      </c>
      <c r="B434" t="s">
        <v>186</v>
      </c>
      <c r="C434" t="s">
        <v>178</v>
      </c>
      <c r="D434" t="s">
        <v>160</v>
      </c>
      <c r="E434" t="s">
        <v>51</v>
      </c>
      <c r="F434">
        <v>60</v>
      </c>
      <c r="G434" t="s">
        <v>87</v>
      </c>
      <c r="H434">
        <v>27</v>
      </c>
      <c r="I434" t="s">
        <v>140</v>
      </c>
      <c r="J434" t="s">
        <v>31</v>
      </c>
      <c r="K434" t="s">
        <v>32</v>
      </c>
      <c r="L434" t="s">
        <v>206</v>
      </c>
      <c r="M434">
        <v>340920</v>
      </c>
      <c r="N434" t="s">
        <v>56</v>
      </c>
      <c r="O434" t="s">
        <v>35</v>
      </c>
      <c r="P434" t="s">
        <v>36</v>
      </c>
      <c r="Q434" t="s">
        <v>37</v>
      </c>
      <c r="R434" t="s">
        <v>60</v>
      </c>
      <c r="S434" t="str">
        <f t="shared" si="6"/>
        <v>55-65</v>
      </c>
    </row>
    <row r="435" spans="1:19" x14ac:dyDescent="0.3">
      <c r="A435">
        <v>434</v>
      </c>
      <c r="B435" t="s">
        <v>266</v>
      </c>
      <c r="C435" t="s">
        <v>71</v>
      </c>
      <c r="D435" t="s">
        <v>160</v>
      </c>
      <c r="E435" t="s">
        <v>51</v>
      </c>
      <c r="F435">
        <v>48</v>
      </c>
      <c r="G435" t="s">
        <v>72</v>
      </c>
      <c r="H435">
        <v>21</v>
      </c>
      <c r="I435" t="s">
        <v>122</v>
      </c>
      <c r="J435" t="s">
        <v>44</v>
      </c>
      <c r="K435" t="s">
        <v>88</v>
      </c>
      <c r="L435" t="s">
        <v>46</v>
      </c>
      <c r="M435">
        <v>54584</v>
      </c>
      <c r="N435" t="s">
        <v>47</v>
      </c>
      <c r="O435" t="s">
        <v>57</v>
      </c>
      <c r="P435" t="s">
        <v>68</v>
      </c>
      <c r="Q435" t="s">
        <v>173</v>
      </c>
      <c r="R435" t="s">
        <v>103</v>
      </c>
      <c r="S435" t="str">
        <f t="shared" si="6"/>
        <v>45-54</v>
      </c>
    </row>
    <row r="436" spans="1:19" x14ac:dyDescent="0.3">
      <c r="A436">
        <v>435</v>
      </c>
      <c r="B436" t="s">
        <v>287</v>
      </c>
      <c r="C436" t="s">
        <v>187</v>
      </c>
      <c r="D436" t="s">
        <v>71</v>
      </c>
      <c r="E436" t="s">
        <v>28</v>
      </c>
      <c r="F436">
        <v>25</v>
      </c>
      <c r="G436" t="s">
        <v>198</v>
      </c>
      <c r="H436">
        <v>1</v>
      </c>
      <c r="I436" t="s">
        <v>199</v>
      </c>
      <c r="J436" t="s">
        <v>113</v>
      </c>
      <c r="K436" t="s">
        <v>323</v>
      </c>
      <c r="L436" t="s">
        <v>67</v>
      </c>
      <c r="M436">
        <v>164128</v>
      </c>
      <c r="N436" t="s">
        <v>47</v>
      </c>
      <c r="O436" t="s">
        <v>57</v>
      </c>
      <c r="P436" t="s">
        <v>76</v>
      </c>
      <c r="Q436" t="s">
        <v>200</v>
      </c>
      <c r="R436" t="s">
        <v>126</v>
      </c>
      <c r="S436" t="str">
        <f t="shared" si="6"/>
        <v>25-34</v>
      </c>
    </row>
    <row r="437" spans="1:19" x14ac:dyDescent="0.3">
      <c r="A437">
        <v>436</v>
      </c>
      <c r="B437" t="s">
        <v>39</v>
      </c>
      <c r="C437" t="s">
        <v>273</v>
      </c>
      <c r="D437" t="s">
        <v>92</v>
      </c>
      <c r="E437" t="s">
        <v>28</v>
      </c>
      <c r="F437">
        <v>53</v>
      </c>
      <c r="G437" t="s">
        <v>107</v>
      </c>
      <c r="H437">
        <v>26</v>
      </c>
      <c r="I437" t="s">
        <v>132</v>
      </c>
      <c r="J437" t="s">
        <v>113</v>
      </c>
      <c r="K437" t="s">
        <v>114</v>
      </c>
      <c r="L437" t="s">
        <v>206</v>
      </c>
      <c r="M437">
        <v>188797</v>
      </c>
      <c r="N437" t="s">
        <v>56</v>
      </c>
      <c r="O437" t="s">
        <v>57</v>
      </c>
      <c r="P437" t="s">
        <v>101</v>
      </c>
      <c r="Q437" t="s">
        <v>77</v>
      </c>
      <c r="R437" t="s">
        <v>38</v>
      </c>
      <c r="S437" t="str">
        <f t="shared" si="6"/>
        <v>45-54</v>
      </c>
    </row>
    <row r="438" spans="1:19" x14ac:dyDescent="0.3">
      <c r="A438">
        <v>437</v>
      </c>
      <c r="B438" t="s">
        <v>159</v>
      </c>
      <c r="C438" t="s">
        <v>66</v>
      </c>
      <c r="D438" t="s">
        <v>236</v>
      </c>
      <c r="E438" t="s">
        <v>28</v>
      </c>
      <c r="F438">
        <v>62</v>
      </c>
      <c r="G438" t="s">
        <v>139</v>
      </c>
      <c r="H438">
        <v>3</v>
      </c>
      <c r="I438" t="s">
        <v>140</v>
      </c>
      <c r="J438" t="s">
        <v>53</v>
      </c>
      <c r="K438" t="s">
        <v>280</v>
      </c>
      <c r="L438" t="s">
        <v>206</v>
      </c>
      <c r="M438">
        <v>275588</v>
      </c>
      <c r="N438" t="s">
        <v>56</v>
      </c>
      <c r="O438" t="s">
        <v>57</v>
      </c>
      <c r="P438" t="s">
        <v>217</v>
      </c>
      <c r="Q438" t="s">
        <v>326</v>
      </c>
      <c r="R438" t="s">
        <v>126</v>
      </c>
      <c r="S438" t="str">
        <f t="shared" si="6"/>
        <v>55-65</v>
      </c>
    </row>
    <row r="439" spans="1:19" x14ac:dyDescent="0.3">
      <c r="A439">
        <v>438</v>
      </c>
      <c r="B439" t="s">
        <v>319</v>
      </c>
      <c r="C439" t="s">
        <v>121</v>
      </c>
      <c r="D439" t="s">
        <v>121</v>
      </c>
      <c r="E439" t="s">
        <v>28</v>
      </c>
      <c r="F439">
        <v>49</v>
      </c>
      <c r="G439" t="s">
        <v>64</v>
      </c>
      <c r="H439">
        <v>24</v>
      </c>
      <c r="I439" t="s">
        <v>118</v>
      </c>
      <c r="J439" t="s">
        <v>44</v>
      </c>
      <c r="K439" t="s">
        <v>232</v>
      </c>
      <c r="L439" t="s">
        <v>55</v>
      </c>
      <c r="M439">
        <v>210646</v>
      </c>
      <c r="N439" t="s">
        <v>56</v>
      </c>
      <c r="O439" t="s">
        <v>35</v>
      </c>
      <c r="P439" t="s">
        <v>101</v>
      </c>
      <c r="Q439" t="s">
        <v>102</v>
      </c>
      <c r="R439" t="s">
        <v>103</v>
      </c>
      <c r="S439" t="str">
        <f t="shared" si="6"/>
        <v>45-54</v>
      </c>
    </row>
    <row r="440" spans="1:19" x14ac:dyDescent="0.3">
      <c r="A440">
        <v>439</v>
      </c>
      <c r="B440" t="s">
        <v>120</v>
      </c>
      <c r="C440" t="s">
        <v>92</v>
      </c>
      <c r="D440" t="s">
        <v>280</v>
      </c>
      <c r="E440" t="s">
        <v>28</v>
      </c>
      <c r="F440">
        <v>42</v>
      </c>
      <c r="G440" t="s">
        <v>150</v>
      </c>
      <c r="H440">
        <v>4</v>
      </c>
      <c r="I440" t="s">
        <v>112</v>
      </c>
      <c r="J440" t="s">
        <v>44</v>
      </c>
      <c r="K440" t="s">
        <v>232</v>
      </c>
      <c r="L440" t="s">
        <v>33</v>
      </c>
      <c r="M440">
        <v>227521</v>
      </c>
      <c r="N440" t="s">
        <v>34</v>
      </c>
      <c r="O440" t="s">
        <v>35</v>
      </c>
      <c r="P440" t="s">
        <v>76</v>
      </c>
      <c r="Q440" t="s">
        <v>200</v>
      </c>
      <c r="R440" t="s">
        <v>38</v>
      </c>
      <c r="S440" t="str">
        <f t="shared" si="6"/>
        <v>35-44</v>
      </c>
    </row>
    <row r="441" spans="1:19" x14ac:dyDescent="0.3">
      <c r="A441">
        <v>440</v>
      </c>
      <c r="B441" t="s">
        <v>238</v>
      </c>
      <c r="C441" t="s">
        <v>121</v>
      </c>
      <c r="D441" t="s">
        <v>50</v>
      </c>
      <c r="E441" t="s">
        <v>28</v>
      </c>
      <c r="F441">
        <v>57</v>
      </c>
      <c r="G441" t="s">
        <v>198</v>
      </c>
      <c r="H441">
        <v>18</v>
      </c>
      <c r="I441" t="s">
        <v>199</v>
      </c>
      <c r="J441" t="s">
        <v>53</v>
      </c>
      <c r="K441" t="s">
        <v>213</v>
      </c>
      <c r="L441" t="s">
        <v>55</v>
      </c>
      <c r="M441">
        <v>72505</v>
      </c>
      <c r="N441" t="s">
        <v>47</v>
      </c>
      <c r="O441" t="s">
        <v>75</v>
      </c>
      <c r="P441" t="s">
        <v>217</v>
      </c>
      <c r="Q441" t="s">
        <v>326</v>
      </c>
      <c r="R441" t="s">
        <v>83</v>
      </c>
      <c r="S441" t="str">
        <f t="shared" si="6"/>
        <v>55-65</v>
      </c>
    </row>
    <row r="442" spans="1:19" x14ac:dyDescent="0.3">
      <c r="A442">
        <v>441</v>
      </c>
      <c r="B442" t="s">
        <v>274</v>
      </c>
      <c r="C442" t="s">
        <v>204</v>
      </c>
      <c r="D442" t="s">
        <v>244</v>
      </c>
      <c r="E442" t="s">
        <v>51</v>
      </c>
      <c r="F442">
        <v>26</v>
      </c>
      <c r="G442" t="s">
        <v>194</v>
      </c>
      <c r="H442">
        <v>20</v>
      </c>
      <c r="I442" t="s">
        <v>65</v>
      </c>
      <c r="J442" t="s">
        <v>94</v>
      </c>
      <c r="K442" t="s">
        <v>271</v>
      </c>
      <c r="L442" t="s">
        <v>46</v>
      </c>
      <c r="M442">
        <v>132382</v>
      </c>
      <c r="N442" t="s">
        <v>34</v>
      </c>
      <c r="O442" t="s">
        <v>35</v>
      </c>
      <c r="P442" t="s">
        <v>230</v>
      </c>
      <c r="Q442" t="s">
        <v>259</v>
      </c>
      <c r="R442" t="s">
        <v>126</v>
      </c>
      <c r="S442" t="str">
        <f t="shared" si="6"/>
        <v>25-34</v>
      </c>
    </row>
    <row r="443" spans="1:19" x14ac:dyDescent="0.3">
      <c r="A443">
        <v>442</v>
      </c>
      <c r="B443" t="s">
        <v>216</v>
      </c>
      <c r="C443" t="s">
        <v>260</v>
      </c>
      <c r="D443" t="s">
        <v>41</v>
      </c>
      <c r="E443" t="s">
        <v>51</v>
      </c>
      <c r="F443">
        <v>43</v>
      </c>
      <c r="G443" t="s">
        <v>29</v>
      </c>
      <c r="H443">
        <v>14</v>
      </c>
      <c r="I443" t="s">
        <v>30</v>
      </c>
      <c r="J443" t="s">
        <v>44</v>
      </c>
      <c r="K443" t="s">
        <v>232</v>
      </c>
      <c r="L443" t="s">
        <v>206</v>
      </c>
      <c r="M443">
        <v>145081</v>
      </c>
      <c r="N443" t="s">
        <v>56</v>
      </c>
      <c r="O443" t="s">
        <v>35</v>
      </c>
      <c r="P443" t="s">
        <v>76</v>
      </c>
      <c r="Q443" t="s">
        <v>200</v>
      </c>
      <c r="R443" t="s">
        <v>38</v>
      </c>
      <c r="S443" t="str">
        <f t="shared" si="6"/>
        <v>35-44</v>
      </c>
    </row>
    <row r="444" spans="1:19" x14ac:dyDescent="0.3">
      <c r="A444">
        <v>443</v>
      </c>
      <c r="B444" t="s">
        <v>171</v>
      </c>
      <c r="C444" t="s">
        <v>183</v>
      </c>
      <c r="D444" t="s">
        <v>167</v>
      </c>
      <c r="E444" t="s">
        <v>51</v>
      </c>
      <c r="F444">
        <v>27</v>
      </c>
      <c r="G444" t="s">
        <v>139</v>
      </c>
      <c r="H444">
        <v>27</v>
      </c>
      <c r="I444" t="s">
        <v>199</v>
      </c>
      <c r="J444" t="s">
        <v>53</v>
      </c>
      <c r="K444" t="s">
        <v>213</v>
      </c>
      <c r="L444" t="s">
        <v>33</v>
      </c>
      <c r="M444">
        <v>51326</v>
      </c>
      <c r="N444" t="s">
        <v>34</v>
      </c>
      <c r="O444" t="s">
        <v>35</v>
      </c>
      <c r="P444" t="s">
        <v>230</v>
      </c>
      <c r="Q444" t="s">
        <v>298</v>
      </c>
      <c r="R444" t="s">
        <v>103</v>
      </c>
      <c r="S444" t="str">
        <f t="shared" si="6"/>
        <v>25-34</v>
      </c>
    </row>
    <row r="445" spans="1:19" x14ac:dyDescent="0.3">
      <c r="A445">
        <v>444</v>
      </c>
      <c r="B445" t="s">
        <v>171</v>
      </c>
      <c r="C445" t="s">
        <v>204</v>
      </c>
      <c r="D445" t="s">
        <v>131</v>
      </c>
      <c r="E445" t="s">
        <v>51</v>
      </c>
      <c r="F445">
        <v>62</v>
      </c>
      <c r="G445" t="s">
        <v>72</v>
      </c>
      <c r="H445">
        <v>26</v>
      </c>
      <c r="I445" t="s">
        <v>73</v>
      </c>
      <c r="J445" t="s">
        <v>123</v>
      </c>
      <c r="K445" t="s">
        <v>145</v>
      </c>
      <c r="L445" t="s">
        <v>206</v>
      </c>
      <c r="M445">
        <v>220021</v>
      </c>
      <c r="N445" t="s">
        <v>56</v>
      </c>
      <c r="O445" t="s">
        <v>57</v>
      </c>
      <c r="P445" t="s">
        <v>217</v>
      </c>
      <c r="Q445" t="s">
        <v>326</v>
      </c>
      <c r="R445" t="s">
        <v>126</v>
      </c>
      <c r="S445" t="str">
        <f t="shared" si="6"/>
        <v>55-65</v>
      </c>
    </row>
    <row r="446" spans="1:19" x14ac:dyDescent="0.3">
      <c r="A446">
        <v>445</v>
      </c>
      <c r="B446" t="s">
        <v>99</v>
      </c>
      <c r="C446" t="s">
        <v>178</v>
      </c>
      <c r="D446" t="s">
        <v>128</v>
      </c>
      <c r="E446" t="s">
        <v>51</v>
      </c>
      <c r="F446">
        <v>54</v>
      </c>
      <c r="G446" t="s">
        <v>144</v>
      </c>
      <c r="H446">
        <v>14</v>
      </c>
      <c r="I446" t="s">
        <v>118</v>
      </c>
      <c r="J446" t="s">
        <v>94</v>
      </c>
      <c r="K446" t="s">
        <v>100</v>
      </c>
      <c r="L446" t="s">
        <v>55</v>
      </c>
      <c r="M446">
        <v>250685</v>
      </c>
      <c r="N446" t="s">
        <v>96</v>
      </c>
      <c r="O446" t="s">
        <v>75</v>
      </c>
      <c r="P446" t="s">
        <v>89</v>
      </c>
      <c r="Q446" t="s">
        <v>90</v>
      </c>
      <c r="R446" t="s">
        <v>126</v>
      </c>
      <c r="S446" t="str">
        <f t="shared" si="6"/>
        <v>45-54</v>
      </c>
    </row>
    <row r="447" spans="1:19" x14ac:dyDescent="0.3">
      <c r="A447">
        <v>446</v>
      </c>
      <c r="B447" t="s">
        <v>254</v>
      </c>
      <c r="C447" t="s">
        <v>172</v>
      </c>
      <c r="D447" t="s">
        <v>85</v>
      </c>
      <c r="E447" t="s">
        <v>51</v>
      </c>
      <c r="F447">
        <v>55</v>
      </c>
      <c r="G447" t="s">
        <v>198</v>
      </c>
      <c r="H447">
        <v>23</v>
      </c>
      <c r="I447" t="s">
        <v>43</v>
      </c>
      <c r="J447" t="s">
        <v>53</v>
      </c>
      <c r="K447" t="s">
        <v>54</v>
      </c>
      <c r="L447" t="s">
        <v>46</v>
      </c>
      <c r="M447">
        <v>54020</v>
      </c>
      <c r="N447" t="s">
        <v>47</v>
      </c>
      <c r="O447" t="s">
        <v>57</v>
      </c>
      <c r="P447" t="s">
        <v>89</v>
      </c>
      <c r="Q447" t="s">
        <v>248</v>
      </c>
      <c r="R447" t="s">
        <v>126</v>
      </c>
      <c r="S447" t="str">
        <f t="shared" si="6"/>
        <v>55-65</v>
      </c>
    </row>
    <row r="448" spans="1:19" x14ac:dyDescent="0.3">
      <c r="A448">
        <v>447</v>
      </c>
      <c r="B448" t="s">
        <v>309</v>
      </c>
      <c r="C448" t="s">
        <v>211</v>
      </c>
      <c r="D448" t="s">
        <v>204</v>
      </c>
      <c r="E448" t="s">
        <v>28</v>
      </c>
      <c r="F448">
        <v>60</v>
      </c>
      <c r="G448" t="s">
        <v>29</v>
      </c>
      <c r="H448">
        <v>16</v>
      </c>
      <c r="I448" t="s">
        <v>30</v>
      </c>
      <c r="J448" t="s">
        <v>44</v>
      </c>
      <c r="K448" t="s">
        <v>45</v>
      </c>
      <c r="L448" t="s">
        <v>55</v>
      </c>
      <c r="M448">
        <v>280344</v>
      </c>
      <c r="N448" t="s">
        <v>56</v>
      </c>
      <c r="O448" t="s">
        <v>35</v>
      </c>
      <c r="P448" t="s">
        <v>101</v>
      </c>
      <c r="Q448" t="s">
        <v>102</v>
      </c>
      <c r="R448" t="s">
        <v>83</v>
      </c>
      <c r="S448" t="str">
        <f t="shared" si="6"/>
        <v>55-65</v>
      </c>
    </row>
    <row r="449" spans="1:19" x14ac:dyDescent="0.3">
      <c r="A449">
        <v>448</v>
      </c>
      <c r="B449" t="s">
        <v>201</v>
      </c>
      <c r="C449" t="s">
        <v>71</v>
      </c>
      <c r="D449" t="s">
        <v>163</v>
      </c>
      <c r="E449" t="s">
        <v>28</v>
      </c>
      <c r="F449">
        <v>44</v>
      </c>
      <c r="G449" t="s">
        <v>198</v>
      </c>
      <c r="H449">
        <v>19</v>
      </c>
      <c r="I449" t="s">
        <v>199</v>
      </c>
      <c r="J449" t="s">
        <v>44</v>
      </c>
      <c r="K449" t="s">
        <v>294</v>
      </c>
      <c r="L449" t="s">
        <v>33</v>
      </c>
      <c r="M449">
        <v>104777</v>
      </c>
      <c r="N449" t="s">
        <v>56</v>
      </c>
      <c r="O449" t="s">
        <v>75</v>
      </c>
      <c r="P449" t="s">
        <v>76</v>
      </c>
      <c r="Q449" t="s">
        <v>272</v>
      </c>
      <c r="R449" t="s">
        <v>83</v>
      </c>
      <c r="S449" t="str">
        <f t="shared" si="6"/>
        <v>35-44</v>
      </c>
    </row>
    <row r="450" spans="1:19" x14ac:dyDescent="0.3">
      <c r="A450">
        <v>449</v>
      </c>
      <c r="B450" t="s">
        <v>208</v>
      </c>
      <c r="C450" t="s">
        <v>249</v>
      </c>
      <c r="D450" t="s">
        <v>236</v>
      </c>
      <c r="E450" t="s">
        <v>51</v>
      </c>
      <c r="F450">
        <v>60</v>
      </c>
      <c r="G450" t="s">
        <v>150</v>
      </c>
      <c r="H450">
        <v>6</v>
      </c>
      <c r="I450" t="s">
        <v>112</v>
      </c>
      <c r="J450" t="s">
        <v>94</v>
      </c>
      <c r="K450" t="s">
        <v>100</v>
      </c>
      <c r="L450" t="s">
        <v>206</v>
      </c>
      <c r="M450">
        <v>14418</v>
      </c>
      <c r="N450" t="s">
        <v>34</v>
      </c>
      <c r="O450" t="s">
        <v>35</v>
      </c>
      <c r="P450" t="s">
        <v>230</v>
      </c>
      <c r="Q450" t="s">
        <v>250</v>
      </c>
      <c r="R450" t="s">
        <v>126</v>
      </c>
      <c r="S450" t="str">
        <f t="shared" ref="S450:S513" si="7">IF(F450&lt;25,"18-24",IF(F450&lt;35,"25-34",IF(F450&lt;45,"35-44",IF(F450&lt;55,"45-54","55-65"))))</f>
        <v>55-65</v>
      </c>
    </row>
    <row r="451" spans="1:19" x14ac:dyDescent="0.3">
      <c r="A451">
        <v>450</v>
      </c>
      <c r="B451" t="s">
        <v>226</v>
      </c>
      <c r="C451" t="s">
        <v>154</v>
      </c>
      <c r="D451" t="s">
        <v>131</v>
      </c>
      <c r="E451" t="s">
        <v>28</v>
      </c>
      <c r="F451">
        <v>18</v>
      </c>
      <c r="G451" t="s">
        <v>150</v>
      </c>
      <c r="H451">
        <v>9</v>
      </c>
      <c r="I451" t="s">
        <v>112</v>
      </c>
      <c r="J451" t="s">
        <v>53</v>
      </c>
      <c r="K451" t="s">
        <v>188</v>
      </c>
      <c r="L451" t="s">
        <v>46</v>
      </c>
      <c r="M451">
        <v>65242</v>
      </c>
      <c r="N451" t="s">
        <v>115</v>
      </c>
      <c r="O451" t="s">
        <v>75</v>
      </c>
      <c r="P451" t="s">
        <v>101</v>
      </c>
      <c r="Q451" t="s">
        <v>102</v>
      </c>
      <c r="R451" t="s">
        <v>103</v>
      </c>
      <c r="S451" t="str">
        <f t="shared" si="7"/>
        <v>18-24</v>
      </c>
    </row>
    <row r="452" spans="1:19" x14ac:dyDescent="0.3">
      <c r="A452">
        <v>451</v>
      </c>
      <c r="B452" t="s">
        <v>223</v>
      </c>
      <c r="C452" t="s">
        <v>154</v>
      </c>
      <c r="D452" t="s">
        <v>146</v>
      </c>
      <c r="E452" t="s">
        <v>51</v>
      </c>
      <c r="F452">
        <v>51</v>
      </c>
      <c r="G452" t="s">
        <v>29</v>
      </c>
      <c r="H452">
        <v>16</v>
      </c>
      <c r="I452" t="s">
        <v>30</v>
      </c>
      <c r="J452" t="s">
        <v>31</v>
      </c>
      <c r="K452" t="s">
        <v>311</v>
      </c>
      <c r="L452" t="s">
        <v>67</v>
      </c>
      <c r="M452">
        <v>344505</v>
      </c>
      <c r="N452" t="s">
        <v>56</v>
      </c>
      <c r="O452" t="s">
        <v>35</v>
      </c>
      <c r="P452" t="s">
        <v>97</v>
      </c>
      <c r="Q452" t="s">
        <v>243</v>
      </c>
      <c r="R452" t="s">
        <v>103</v>
      </c>
      <c r="S452" t="str">
        <f t="shared" si="7"/>
        <v>45-54</v>
      </c>
    </row>
    <row r="453" spans="1:19" x14ac:dyDescent="0.3">
      <c r="A453">
        <v>452</v>
      </c>
      <c r="B453" t="s">
        <v>99</v>
      </c>
      <c r="C453" t="s">
        <v>143</v>
      </c>
      <c r="D453" t="s">
        <v>121</v>
      </c>
      <c r="E453" t="s">
        <v>51</v>
      </c>
      <c r="F453">
        <v>31</v>
      </c>
      <c r="G453" t="s">
        <v>198</v>
      </c>
      <c r="H453">
        <v>24</v>
      </c>
      <c r="I453" t="s">
        <v>43</v>
      </c>
      <c r="J453" t="s">
        <v>44</v>
      </c>
      <c r="K453" t="s">
        <v>293</v>
      </c>
      <c r="L453" t="s">
        <v>55</v>
      </c>
      <c r="M453">
        <v>23742</v>
      </c>
      <c r="N453" t="s">
        <v>34</v>
      </c>
      <c r="O453" t="s">
        <v>35</v>
      </c>
      <c r="P453" t="s">
        <v>217</v>
      </c>
      <c r="Q453" t="s">
        <v>233</v>
      </c>
      <c r="R453" t="s">
        <v>38</v>
      </c>
      <c r="S453" t="str">
        <f t="shared" si="7"/>
        <v>25-34</v>
      </c>
    </row>
    <row r="454" spans="1:19" x14ac:dyDescent="0.3">
      <c r="A454">
        <v>453</v>
      </c>
      <c r="B454" t="s">
        <v>196</v>
      </c>
      <c r="C454" t="s">
        <v>236</v>
      </c>
      <c r="D454" t="s">
        <v>160</v>
      </c>
      <c r="E454" t="s">
        <v>51</v>
      </c>
      <c r="F454">
        <v>32</v>
      </c>
      <c r="G454" t="s">
        <v>198</v>
      </c>
      <c r="H454">
        <v>24</v>
      </c>
      <c r="I454" t="s">
        <v>43</v>
      </c>
      <c r="J454" t="s">
        <v>164</v>
      </c>
      <c r="K454" t="s">
        <v>209</v>
      </c>
      <c r="L454" t="s">
        <v>67</v>
      </c>
      <c r="M454">
        <v>168733</v>
      </c>
      <c r="N454" t="s">
        <v>56</v>
      </c>
      <c r="O454" t="s">
        <v>57</v>
      </c>
      <c r="P454" t="s">
        <v>58</v>
      </c>
      <c r="Q454" t="s">
        <v>222</v>
      </c>
      <c r="R454" t="s">
        <v>60</v>
      </c>
      <c r="S454" t="str">
        <f t="shared" si="7"/>
        <v>25-34</v>
      </c>
    </row>
    <row r="455" spans="1:19" x14ac:dyDescent="0.3">
      <c r="A455">
        <v>454</v>
      </c>
      <c r="B455" t="s">
        <v>241</v>
      </c>
      <c r="C455" t="s">
        <v>63</v>
      </c>
      <c r="D455" t="s">
        <v>189</v>
      </c>
      <c r="E455" t="s">
        <v>51</v>
      </c>
      <c r="F455">
        <v>24</v>
      </c>
      <c r="G455" t="s">
        <v>87</v>
      </c>
      <c r="H455">
        <v>17</v>
      </c>
      <c r="I455" t="s">
        <v>80</v>
      </c>
      <c r="J455" t="s">
        <v>44</v>
      </c>
      <c r="K455" t="s">
        <v>44</v>
      </c>
      <c r="L455" t="s">
        <v>206</v>
      </c>
      <c r="M455">
        <v>334883</v>
      </c>
      <c r="N455" t="s">
        <v>56</v>
      </c>
      <c r="O455" t="s">
        <v>75</v>
      </c>
      <c r="P455" t="s">
        <v>36</v>
      </c>
      <c r="Q455" t="s">
        <v>234</v>
      </c>
      <c r="R455" t="s">
        <v>83</v>
      </c>
      <c r="S455" t="str">
        <f t="shared" si="7"/>
        <v>18-24</v>
      </c>
    </row>
    <row r="456" spans="1:19" x14ac:dyDescent="0.3">
      <c r="A456">
        <v>455</v>
      </c>
      <c r="B456" t="s">
        <v>295</v>
      </c>
      <c r="C456" t="s">
        <v>27</v>
      </c>
      <c r="D456" t="s">
        <v>273</v>
      </c>
      <c r="E456" t="s">
        <v>51</v>
      </c>
      <c r="F456">
        <v>47</v>
      </c>
      <c r="G456" t="s">
        <v>79</v>
      </c>
      <c r="H456">
        <v>21</v>
      </c>
      <c r="I456" t="s">
        <v>80</v>
      </c>
      <c r="J456" t="s">
        <v>94</v>
      </c>
      <c r="K456" t="s">
        <v>271</v>
      </c>
      <c r="L456" t="s">
        <v>46</v>
      </c>
      <c r="M456">
        <v>270822</v>
      </c>
      <c r="N456" t="s">
        <v>47</v>
      </c>
      <c r="O456" t="s">
        <v>75</v>
      </c>
      <c r="P456" t="s">
        <v>68</v>
      </c>
      <c r="Q456" t="s">
        <v>267</v>
      </c>
      <c r="R456" t="s">
        <v>38</v>
      </c>
      <c r="S456" t="str">
        <f t="shared" si="7"/>
        <v>45-54</v>
      </c>
    </row>
    <row r="457" spans="1:19" x14ac:dyDescent="0.3">
      <c r="A457">
        <v>456</v>
      </c>
      <c r="B457" t="s">
        <v>289</v>
      </c>
      <c r="C457" t="s">
        <v>105</v>
      </c>
      <c r="D457" t="s">
        <v>189</v>
      </c>
      <c r="E457" t="s">
        <v>51</v>
      </c>
      <c r="F457">
        <v>44</v>
      </c>
      <c r="G457" t="s">
        <v>194</v>
      </c>
      <c r="H457">
        <v>27</v>
      </c>
      <c r="I457" t="s">
        <v>65</v>
      </c>
      <c r="J457" t="s">
        <v>113</v>
      </c>
      <c r="K457" t="s">
        <v>113</v>
      </c>
      <c r="L457" t="s">
        <v>206</v>
      </c>
      <c r="M457">
        <v>40848</v>
      </c>
      <c r="N457" t="s">
        <v>47</v>
      </c>
      <c r="O457" t="s">
        <v>35</v>
      </c>
      <c r="P457" t="s">
        <v>101</v>
      </c>
      <c r="Q457" t="s">
        <v>102</v>
      </c>
      <c r="R457" t="s">
        <v>83</v>
      </c>
      <c r="S457" t="str">
        <f t="shared" si="7"/>
        <v>35-44</v>
      </c>
    </row>
    <row r="458" spans="1:19" x14ac:dyDescent="0.3">
      <c r="A458">
        <v>457</v>
      </c>
      <c r="B458" t="s">
        <v>329</v>
      </c>
      <c r="C458" t="s">
        <v>172</v>
      </c>
      <c r="D458" t="s">
        <v>41</v>
      </c>
      <c r="E458" t="s">
        <v>51</v>
      </c>
      <c r="F458">
        <v>56</v>
      </c>
      <c r="G458" t="s">
        <v>150</v>
      </c>
      <c r="H458">
        <v>3</v>
      </c>
      <c r="I458" t="s">
        <v>112</v>
      </c>
      <c r="J458" t="s">
        <v>113</v>
      </c>
      <c r="K458" t="s">
        <v>149</v>
      </c>
      <c r="L458" t="s">
        <v>46</v>
      </c>
      <c r="M458">
        <v>34803</v>
      </c>
      <c r="N458" t="s">
        <v>115</v>
      </c>
      <c r="O458" t="s">
        <v>57</v>
      </c>
      <c r="P458" t="s">
        <v>101</v>
      </c>
      <c r="Q458" t="s">
        <v>129</v>
      </c>
      <c r="R458" t="s">
        <v>126</v>
      </c>
      <c r="S458" t="str">
        <f t="shared" si="7"/>
        <v>55-65</v>
      </c>
    </row>
    <row r="459" spans="1:19" x14ac:dyDescent="0.3">
      <c r="A459">
        <v>458</v>
      </c>
      <c r="B459" t="s">
        <v>197</v>
      </c>
      <c r="C459" t="s">
        <v>146</v>
      </c>
      <c r="D459" t="s">
        <v>175</v>
      </c>
      <c r="E459" t="s">
        <v>28</v>
      </c>
      <c r="F459">
        <v>58</v>
      </c>
      <c r="G459" t="s">
        <v>79</v>
      </c>
      <c r="H459">
        <v>10</v>
      </c>
      <c r="I459" t="s">
        <v>52</v>
      </c>
      <c r="J459" t="s">
        <v>123</v>
      </c>
      <c r="K459" t="s">
        <v>245</v>
      </c>
      <c r="L459" t="s">
        <v>55</v>
      </c>
      <c r="M459">
        <v>270429</v>
      </c>
      <c r="N459" t="s">
        <v>47</v>
      </c>
      <c r="O459" t="s">
        <v>35</v>
      </c>
      <c r="P459" t="s">
        <v>89</v>
      </c>
      <c r="Q459" t="s">
        <v>155</v>
      </c>
      <c r="R459" t="s">
        <v>60</v>
      </c>
      <c r="S459" t="str">
        <f t="shared" si="7"/>
        <v>55-65</v>
      </c>
    </row>
    <row r="460" spans="1:19" x14ac:dyDescent="0.3">
      <c r="A460">
        <v>459</v>
      </c>
      <c r="B460" t="s">
        <v>208</v>
      </c>
      <c r="C460" t="s">
        <v>63</v>
      </c>
      <c r="D460" t="s">
        <v>63</v>
      </c>
      <c r="E460" t="s">
        <v>51</v>
      </c>
      <c r="F460">
        <v>29</v>
      </c>
      <c r="G460" t="s">
        <v>87</v>
      </c>
      <c r="H460">
        <v>2</v>
      </c>
      <c r="I460" t="s">
        <v>80</v>
      </c>
      <c r="J460" t="s">
        <v>53</v>
      </c>
      <c r="K460" t="s">
        <v>188</v>
      </c>
      <c r="L460" t="s">
        <v>67</v>
      </c>
      <c r="M460">
        <v>174644</v>
      </c>
      <c r="N460" t="s">
        <v>56</v>
      </c>
      <c r="O460" t="s">
        <v>57</v>
      </c>
      <c r="P460" t="s">
        <v>89</v>
      </c>
      <c r="Q460" t="s">
        <v>248</v>
      </c>
      <c r="R460" t="s">
        <v>38</v>
      </c>
      <c r="S460" t="str">
        <f t="shared" si="7"/>
        <v>25-34</v>
      </c>
    </row>
    <row r="461" spans="1:19" x14ac:dyDescent="0.3">
      <c r="A461">
        <v>460</v>
      </c>
      <c r="B461" t="s">
        <v>266</v>
      </c>
      <c r="C461" t="s">
        <v>50</v>
      </c>
      <c r="D461" t="s">
        <v>110</v>
      </c>
      <c r="E461" t="s">
        <v>51</v>
      </c>
      <c r="F461">
        <v>24</v>
      </c>
      <c r="G461" t="s">
        <v>139</v>
      </c>
      <c r="H461">
        <v>7</v>
      </c>
      <c r="I461" t="s">
        <v>140</v>
      </c>
      <c r="J461" t="s">
        <v>94</v>
      </c>
      <c r="K461" t="s">
        <v>227</v>
      </c>
      <c r="L461" t="s">
        <v>33</v>
      </c>
      <c r="M461">
        <v>40634</v>
      </c>
      <c r="N461" t="s">
        <v>34</v>
      </c>
      <c r="O461" t="s">
        <v>75</v>
      </c>
      <c r="P461" t="s">
        <v>89</v>
      </c>
      <c r="Q461" t="s">
        <v>155</v>
      </c>
      <c r="R461" t="s">
        <v>83</v>
      </c>
      <c r="S461" t="str">
        <f t="shared" si="7"/>
        <v>18-24</v>
      </c>
    </row>
    <row r="462" spans="1:19" x14ac:dyDescent="0.3">
      <c r="A462">
        <v>461</v>
      </c>
      <c r="B462" t="s">
        <v>263</v>
      </c>
      <c r="C462" t="s">
        <v>117</v>
      </c>
      <c r="D462" t="s">
        <v>50</v>
      </c>
      <c r="E462" t="s">
        <v>51</v>
      </c>
      <c r="F462">
        <v>60</v>
      </c>
      <c r="G462" t="s">
        <v>72</v>
      </c>
      <c r="H462">
        <v>21</v>
      </c>
      <c r="I462" t="s">
        <v>122</v>
      </c>
      <c r="J462" t="s">
        <v>113</v>
      </c>
      <c r="K462" t="s">
        <v>325</v>
      </c>
      <c r="L462" t="s">
        <v>55</v>
      </c>
      <c r="M462">
        <v>57305</v>
      </c>
      <c r="N462" t="s">
        <v>96</v>
      </c>
      <c r="O462" t="s">
        <v>75</v>
      </c>
      <c r="P462" t="s">
        <v>58</v>
      </c>
      <c r="Q462" t="s">
        <v>165</v>
      </c>
      <c r="R462" t="s">
        <v>60</v>
      </c>
      <c r="S462" t="str">
        <f t="shared" si="7"/>
        <v>55-65</v>
      </c>
    </row>
    <row r="463" spans="1:19" x14ac:dyDescent="0.3">
      <c r="A463">
        <v>462</v>
      </c>
      <c r="B463" t="s">
        <v>235</v>
      </c>
      <c r="C463" t="s">
        <v>221</v>
      </c>
      <c r="D463" t="s">
        <v>92</v>
      </c>
      <c r="E463" t="s">
        <v>51</v>
      </c>
      <c r="F463">
        <v>52</v>
      </c>
      <c r="G463" t="s">
        <v>107</v>
      </c>
      <c r="H463">
        <v>25</v>
      </c>
      <c r="I463" t="s">
        <v>132</v>
      </c>
      <c r="J463" t="s">
        <v>164</v>
      </c>
      <c r="K463" t="s">
        <v>164</v>
      </c>
      <c r="L463" t="s">
        <v>206</v>
      </c>
      <c r="M463">
        <v>137626</v>
      </c>
      <c r="N463" t="s">
        <v>34</v>
      </c>
      <c r="O463" t="s">
        <v>75</v>
      </c>
      <c r="P463" t="s">
        <v>68</v>
      </c>
      <c r="Q463" t="s">
        <v>69</v>
      </c>
      <c r="R463" t="s">
        <v>126</v>
      </c>
      <c r="S463" t="str">
        <f t="shared" si="7"/>
        <v>45-54</v>
      </c>
    </row>
    <row r="464" spans="1:19" x14ac:dyDescent="0.3">
      <c r="A464">
        <v>463</v>
      </c>
      <c r="B464" t="s">
        <v>49</v>
      </c>
      <c r="C464" t="s">
        <v>189</v>
      </c>
      <c r="D464" t="s">
        <v>160</v>
      </c>
      <c r="E464" t="s">
        <v>51</v>
      </c>
      <c r="F464">
        <v>23</v>
      </c>
      <c r="G464" t="s">
        <v>139</v>
      </c>
      <c r="H464">
        <v>2</v>
      </c>
      <c r="I464" t="s">
        <v>140</v>
      </c>
      <c r="J464" t="s">
        <v>44</v>
      </c>
      <c r="K464" t="s">
        <v>45</v>
      </c>
      <c r="L464" t="s">
        <v>55</v>
      </c>
      <c r="M464">
        <v>299403</v>
      </c>
      <c r="N464" t="s">
        <v>34</v>
      </c>
      <c r="O464" t="s">
        <v>57</v>
      </c>
      <c r="P464" t="s">
        <v>76</v>
      </c>
      <c r="Q464" t="s">
        <v>305</v>
      </c>
      <c r="R464" t="s">
        <v>83</v>
      </c>
      <c r="S464" t="str">
        <f t="shared" si="7"/>
        <v>18-24</v>
      </c>
    </row>
    <row r="465" spans="1:19" x14ac:dyDescent="0.3">
      <c r="A465">
        <v>464</v>
      </c>
      <c r="B465" t="s">
        <v>319</v>
      </c>
      <c r="C465" t="s">
        <v>167</v>
      </c>
      <c r="D465" t="s">
        <v>172</v>
      </c>
      <c r="E465" t="s">
        <v>28</v>
      </c>
      <c r="F465">
        <v>62</v>
      </c>
      <c r="G465" t="s">
        <v>139</v>
      </c>
      <c r="H465">
        <v>22</v>
      </c>
      <c r="I465" t="s">
        <v>140</v>
      </c>
      <c r="J465" t="s">
        <v>31</v>
      </c>
      <c r="K465" t="s">
        <v>276</v>
      </c>
      <c r="L465" t="s">
        <v>55</v>
      </c>
      <c r="M465">
        <v>222563</v>
      </c>
      <c r="N465" t="s">
        <v>96</v>
      </c>
      <c r="O465" t="s">
        <v>35</v>
      </c>
      <c r="P465" t="s">
        <v>58</v>
      </c>
      <c r="Q465" t="s">
        <v>59</v>
      </c>
      <c r="R465" t="s">
        <v>103</v>
      </c>
      <c r="S465" t="str">
        <f t="shared" si="7"/>
        <v>55-65</v>
      </c>
    </row>
    <row r="466" spans="1:19" x14ac:dyDescent="0.3">
      <c r="A466">
        <v>465</v>
      </c>
      <c r="B466" t="s">
        <v>296</v>
      </c>
      <c r="C466" t="s">
        <v>172</v>
      </c>
      <c r="D466" t="s">
        <v>183</v>
      </c>
      <c r="E466" t="s">
        <v>28</v>
      </c>
      <c r="F466">
        <v>49</v>
      </c>
      <c r="G466" t="s">
        <v>194</v>
      </c>
      <c r="H466">
        <v>24</v>
      </c>
      <c r="I466" t="s">
        <v>65</v>
      </c>
      <c r="J466" t="s">
        <v>94</v>
      </c>
      <c r="K466" t="s">
        <v>210</v>
      </c>
      <c r="L466" t="s">
        <v>55</v>
      </c>
      <c r="M466">
        <v>278495</v>
      </c>
      <c r="N466" t="s">
        <v>96</v>
      </c>
      <c r="O466" t="s">
        <v>75</v>
      </c>
      <c r="P466" t="s">
        <v>58</v>
      </c>
      <c r="Q466" t="s">
        <v>59</v>
      </c>
      <c r="R466" t="s">
        <v>103</v>
      </c>
      <c r="S466" t="str">
        <f t="shared" si="7"/>
        <v>45-54</v>
      </c>
    </row>
    <row r="467" spans="1:19" x14ac:dyDescent="0.3">
      <c r="A467">
        <v>466</v>
      </c>
      <c r="B467" t="s">
        <v>264</v>
      </c>
      <c r="C467" t="s">
        <v>181</v>
      </c>
      <c r="D467" t="s">
        <v>149</v>
      </c>
      <c r="E467" t="s">
        <v>28</v>
      </c>
      <c r="F467">
        <v>43</v>
      </c>
      <c r="G467" t="s">
        <v>87</v>
      </c>
      <c r="H467">
        <v>26</v>
      </c>
      <c r="I467" t="s">
        <v>140</v>
      </c>
      <c r="J467" t="s">
        <v>44</v>
      </c>
      <c r="K467" t="s">
        <v>44</v>
      </c>
      <c r="L467" t="s">
        <v>46</v>
      </c>
      <c r="M467">
        <v>283451</v>
      </c>
      <c r="N467" t="s">
        <v>96</v>
      </c>
      <c r="O467" t="s">
        <v>75</v>
      </c>
      <c r="P467" t="s">
        <v>101</v>
      </c>
      <c r="Q467" t="s">
        <v>125</v>
      </c>
      <c r="R467" t="s">
        <v>126</v>
      </c>
      <c r="S467" t="str">
        <f t="shared" si="7"/>
        <v>35-44</v>
      </c>
    </row>
    <row r="468" spans="1:19" x14ac:dyDescent="0.3">
      <c r="A468">
        <v>467</v>
      </c>
      <c r="B468" t="s">
        <v>127</v>
      </c>
      <c r="C468" t="s">
        <v>128</v>
      </c>
      <c r="D468" t="s">
        <v>280</v>
      </c>
      <c r="E468" t="s">
        <v>28</v>
      </c>
      <c r="F468">
        <v>59</v>
      </c>
      <c r="G468" t="s">
        <v>194</v>
      </c>
      <c r="H468">
        <v>24</v>
      </c>
      <c r="I468" t="s">
        <v>65</v>
      </c>
      <c r="J468" t="s">
        <v>31</v>
      </c>
      <c r="K468" t="s">
        <v>195</v>
      </c>
      <c r="L468" t="s">
        <v>46</v>
      </c>
      <c r="M468">
        <v>317977</v>
      </c>
      <c r="N468" t="s">
        <v>34</v>
      </c>
      <c r="O468" t="s">
        <v>35</v>
      </c>
      <c r="P468" t="s">
        <v>97</v>
      </c>
      <c r="Q468" t="s">
        <v>278</v>
      </c>
      <c r="R468" t="s">
        <v>38</v>
      </c>
      <c r="S468" t="str">
        <f t="shared" si="7"/>
        <v>55-65</v>
      </c>
    </row>
    <row r="469" spans="1:19" x14ac:dyDescent="0.3">
      <c r="A469">
        <v>468</v>
      </c>
      <c r="B469" t="s">
        <v>319</v>
      </c>
      <c r="C469" t="s">
        <v>249</v>
      </c>
      <c r="D469" t="s">
        <v>149</v>
      </c>
      <c r="E469" t="s">
        <v>28</v>
      </c>
      <c r="F469">
        <v>47</v>
      </c>
      <c r="G469" t="s">
        <v>79</v>
      </c>
      <c r="H469">
        <v>27</v>
      </c>
      <c r="I469" t="s">
        <v>80</v>
      </c>
      <c r="J469" t="s">
        <v>164</v>
      </c>
      <c r="K469" t="s">
        <v>164</v>
      </c>
      <c r="L469" t="s">
        <v>33</v>
      </c>
      <c r="M469">
        <v>293196</v>
      </c>
      <c r="N469" t="s">
        <v>34</v>
      </c>
      <c r="O469" t="s">
        <v>35</v>
      </c>
      <c r="P469" t="s">
        <v>217</v>
      </c>
      <c r="Q469" t="s">
        <v>220</v>
      </c>
      <c r="R469" t="s">
        <v>103</v>
      </c>
      <c r="S469" t="str">
        <f t="shared" si="7"/>
        <v>45-54</v>
      </c>
    </row>
    <row r="470" spans="1:19" x14ac:dyDescent="0.3">
      <c r="A470">
        <v>469</v>
      </c>
      <c r="B470" t="s">
        <v>156</v>
      </c>
      <c r="C470" t="s">
        <v>183</v>
      </c>
      <c r="D470" t="s">
        <v>221</v>
      </c>
      <c r="E470" t="s">
        <v>28</v>
      </c>
      <c r="F470">
        <v>61</v>
      </c>
      <c r="G470" t="s">
        <v>87</v>
      </c>
      <c r="H470">
        <v>26</v>
      </c>
      <c r="I470" t="s">
        <v>140</v>
      </c>
      <c r="J470" t="s">
        <v>164</v>
      </c>
      <c r="K470" t="s">
        <v>270</v>
      </c>
      <c r="L470" t="s">
        <v>46</v>
      </c>
      <c r="M470">
        <v>46677</v>
      </c>
      <c r="N470" t="s">
        <v>56</v>
      </c>
      <c r="O470" t="s">
        <v>35</v>
      </c>
      <c r="P470" t="s">
        <v>58</v>
      </c>
      <c r="Q470" t="s">
        <v>165</v>
      </c>
      <c r="R470" t="s">
        <v>83</v>
      </c>
      <c r="S470" t="str">
        <f t="shared" si="7"/>
        <v>55-65</v>
      </c>
    </row>
    <row r="471" spans="1:19" x14ac:dyDescent="0.3">
      <c r="A471">
        <v>470</v>
      </c>
      <c r="B471" t="s">
        <v>264</v>
      </c>
      <c r="C471" t="s">
        <v>244</v>
      </c>
      <c r="D471" t="s">
        <v>175</v>
      </c>
      <c r="E471" t="s">
        <v>28</v>
      </c>
      <c r="F471">
        <v>27</v>
      </c>
      <c r="G471" t="s">
        <v>87</v>
      </c>
      <c r="H471">
        <v>3</v>
      </c>
      <c r="I471" t="s">
        <v>80</v>
      </c>
      <c r="J471" t="s">
        <v>113</v>
      </c>
      <c r="K471" t="s">
        <v>237</v>
      </c>
      <c r="L471" t="s">
        <v>46</v>
      </c>
      <c r="M471">
        <v>245222</v>
      </c>
      <c r="N471" t="s">
        <v>115</v>
      </c>
      <c r="O471" t="s">
        <v>57</v>
      </c>
      <c r="P471" t="s">
        <v>58</v>
      </c>
      <c r="Q471" t="s">
        <v>176</v>
      </c>
      <c r="R471" t="s">
        <v>38</v>
      </c>
      <c r="S471" t="str">
        <f t="shared" si="7"/>
        <v>25-34</v>
      </c>
    </row>
    <row r="472" spans="1:19" x14ac:dyDescent="0.3">
      <c r="A472">
        <v>471</v>
      </c>
      <c r="B472" t="s">
        <v>296</v>
      </c>
      <c r="C472" t="s">
        <v>273</v>
      </c>
      <c r="D472" t="s">
        <v>249</v>
      </c>
      <c r="E472" t="s">
        <v>28</v>
      </c>
      <c r="F472">
        <v>19</v>
      </c>
      <c r="G472" t="s">
        <v>150</v>
      </c>
      <c r="H472">
        <v>13</v>
      </c>
      <c r="I472" t="s">
        <v>112</v>
      </c>
      <c r="J472" t="s">
        <v>164</v>
      </c>
      <c r="K472" t="s">
        <v>179</v>
      </c>
      <c r="L472" t="s">
        <v>67</v>
      </c>
      <c r="M472">
        <v>7191</v>
      </c>
      <c r="N472" t="s">
        <v>34</v>
      </c>
      <c r="O472" t="s">
        <v>75</v>
      </c>
      <c r="P472" t="s">
        <v>89</v>
      </c>
      <c r="Q472" t="s">
        <v>248</v>
      </c>
      <c r="R472" t="s">
        <v>126</v>
      </c>
      <c r="S472" t="str">
        <f t="shared" si="7"/>
        <v>18-24</v>
      </c>
    </row>
    <row r="473" spans="1:19" x14ac:dyDescent="0.3">
      <c r="A473">
        <v>472</v>
      </c>
      <c r="B473" t="s">
        <v>247</v>
      </c>
      <c r="C473" t="s">
        <v>146</v>
      </c>
      <c r="D473" t="s">
        <v>111</v>
      </c>
      <c r="E473" t="s">
        <v>51</v>
      </c>
      <c r="F473">
        <v>27</v>
      </c>
      <c r="G473" t="s">
        <v>198</v>
      </c>
      <c r="H473">
        <v>23</v>
      </c>
      <c r="I473" t="s">
        <v>43</v>
      </c>
      <c r="J473" t="s">
        <v>31</v>
      </c>
      <c r="K473" t="s">
        <v>312</v>
      </c>
      <c r="L473" t="s">
        <v>67</v>
      </c>
      <c r="M473">
        <v>160395</v>
      </c>
      <c r="N473" t="s">
        <v>115</v>
      </c>
      <c r="O473" t="s">
        <v>75</v>
      </c>
      <c r="P473" t="s">
        <v>230</v>
      </c>
      <c r="Q473" t="s">
        <v>250</v>
      </c>
      <c r="R473" t="s">
        <v>60</v>
      </c>
      <c r="S473" t="str">
        <f t="shared" si="7"/>
        <v>25-34</v>
      </c>
    </row>
    <row r="474" spans="1:19" x14ac:dyDescent="0.3">
      <c r="A474">
        <v>473</v>
      </c>
      <c r="B474" t="s">
        <v>258</v>
      </c>
      <c r="C474" t="s">
        <v>211</v>
      </c>
      <c r="D474" t="s">
        <v>204</v>
      </c>
      <c r="E474" t="s">
        <v>28</v>
      </c>
      <c r="F474">
        <v>40</v>
      </c>
      <c r="G474" t="s">
        <v>72</v>
      </c>
      <c r="H474">
        <v>27</v>
      </c>
      <c r="I474" t="s">
        <v>73</v>
      </c>
      <c r="J474" t="s">
        <v>164</v>
      </c>
      <c r="K474" t="s">
        <v>284</v>
      </c>
      <c r="L474" t="s">
        <v>67</v>
      </c>
      <c r="M474">
        <v>197410</v>
      </c>
      <c r="N474" t="s">
        <v>34</v>
      </c>
      <c r="O474" t="s">
        <v>75</v>
      </c>
      <c r="P474" t="s">
        <v>58</v>
      </c>
      <c r="Q474" t="s">
        <v>59</v>
      </c>
      <c r="R474" t="s">
        <v>60</v>
      </c>
      <c r="S474" t="str">
        <f t="shared" si="7"/>
        <v>35-44</v>
      </c>
    </row>
    <row r="475" spans="1:19" x14ac:dyDescent="0.3">
      <c r="A475">
        <v>474</v>
      </c>
      <c r="B475" t="s">
        <v>61</v>
      </c>
      <c r="C475" t="s">
        <v>163</v>
      </c>
      <c r="D475" t="s">
        <v>128</v>
      </c>
      <c r="E475" t="s">
        <v>51</v>
      </c>
      <c r="F475">
        <v>31</v>
      </c>
      <c r="G475" t="s">
        <v>198</v>
      </c>
      <c r="H475">
        <v>25</v>
      </c>
      <c r="I475" t="s">
        <v>43</v>
      </c>
      <c r="J475" t="s">
        <v>44</v>
      </c>
      <c r="K475" t="s">
        <v>45</v>
      </c>
      <c r="L475" t="s">
        <v>67</v>
      </c>
      <c r="M475">
        <v>71833</v>
      </c>
      <c r="N475" t="s">
        <v>96</v>
      </c>
      <c r="O475" t="s">
        <v>57</v>
      </c>
      <c r="P475" t="s">
        <v>230</v>
      </c>
      <c r="Q475" t="s">
        <v>259</v>
      </c>
      <c r="R475" t="s">
        <v>38</v>
      </c>
      <c r="S475" t="str">
        <f t="shared" si="7"/>
        <v>25-34</v>
      </c>
    </row>
    <row r="476" spans="1:19" x14ac:dyDescent="0.3">
      <c r="A476">
        <v>475</v>
      </c>
      <c r="B476" t="s">
        <v>264</v>
      </c>
      <c r="C476" t="s">
        <v>149</v>
      </c>
      <c r="D476" t="s">
        <v>215</v>
      </c>
      <c r="E476" t="s">
        <v>28</v>
      </c>
      <c r="F476">
        <v>34</v>
      </c>
      <c r="G476" t="s">
        <v>87</v>
      </c>
      <c r="H476">
        <v>10</v>
      </c>
      <c r="I476" t="s">
        <v>80</v>
      </c>
      <c r="J476" t="s">
        <v>31</v>
      </c>
      <c r="K476" t="s">
        <v>205</v>
      </c>
      <c r="L476" t="s">
        <v>206</v>
      </c>
      <c r="M476">
        <v>282778</v>
      </c>
      <c r="N476" t="s">
        <v>34</v>
      </c>
      <c r="O476" t="s">
        <v>35</v>
      </c>
      <c r="P476" t="s">
        <v>76</v>
      </c>
      <c r="Q476" t="s">
        <v>305</v>
      </c>
      <c r="R476" t="s">
        <v>60</v>
      </c>
      <c r="S476" t="str">
        <f t="shared" si="7"/>
        <v>25-34</v>
      </c>
    </row>
    <row r="477" spans="1:19" x14ac:dyDescent="0.3">
      <c r="A477">
        <v>476</v>
      </c>
      <c r="B477" t="s">
        <v>78</v>
      </c>
      <c r="C477" t="s">
        <v>41</v>
      </c>
      <c r="D477" t="s">
        <v>117</v>
      </c>
      <c r="E477" t="s">
        <v>28</v>
      </c>
      <c r="F477">
        <v>64</v>
      </c>
      <c r="G477" t="s">
        <v>42</v>
      </c>
      <c r="H477">
        <v>4</v>
      </c>
      <c r="I477" t="s">
        <v>43</v>
      </c>
      <c r="J477" t="s">
        <v>113</v>
      </c>
      <c r="K477" t="s">
        <v>292</v>
      </c>
      <c r="L477" t="s">
        <v>206</v>
      </c>
      <c r="M477">
        <v>205018</v>
      </c>
      <c r="N477" t="s">
        <v>115</v>
      </c>
      <c r="O477" t="s">
        <v>75</v>
      </c>
      <c r="P477" t="s">
        <v>89</v>
      </c>
      <c r="Q477" t="s">
        <v>119</v>
      </c>
      <c r="R477" t="s">
        <v>83</v>
      </c>
      <c r="S477" t="str">
        <f t="shared" si="7"/>
        <v>55-65</v>
      </c>
    </row>
    <row r="478" spans="1:19" x14ac:dyDescent="0.3">
      <c r="A478">
        <v>477</v>
      </c>
      <c r="B478" t="s">
        <v>197</v>
      </c>
      <c r="C478" t="s">
        <v>187</v>
      </c>
      <c r="D478" t="s">
        <v>128</v>
      </c>
      <c r="E478" t="s">
        <v>28</v>
      </c>
      <c r="F478">
        <v>30</v>
      </c>
      <c r="G478" t="s">
        <v>64</v>
      </c>
      <c r="H478">
        <v>8</v>
      </c>
      <c r="I478" t="s">
        <v>65</v>
      </c>
      <c r="J478" t="s">
        <v>44</v>
      </c>
      <c r="K478" t="s">
        <v>184</v>
      </c>
      <c r="L478" t="s">
        <v>46</v>
      </c>
      <c r="M478">
        <v>30368</v>
      </c>
      <c r="N478" t="s">
        <v>96</v>
      </c>
      <c r="O478" t="s">
        <v>35</v>
      </c>
      <c r="P478" t="s">
        <v>58</v>
      </c>
      <c r="Q478" t="s">
        <v>176</v>
      </c>
      <c r="R478" t="s">
        <v>103</v>
      </c>
      <c r="S478" t="str">
        <f t="shared" si="7"/>
        <v>25-34</v>
      </c>
    </row>
    <row r="479" spans="1:19" x14ac:dyDescent="0.3">
      <c r="A479">
        <v>478</v>
      </c>
      <c r="B479" t="s">
        <v>84</v>
      </c>
      <c r="C479" t="s">
        <v>211</v>
      </c>
      <c r="D479" t="s">
        <v>71</v>
      </c>
      <c r="E479" t="s">
        <v>28</v>
      </c>
      <c r="F479">
        <v>47</v>
      </c>
      <c r="G479" t="s">
        <v>144</v>
      </c>
      <c r="H479">
        <v>13</v>
      </c>
      <c r="I479" t="s">
        <v>118</v>
      </c>
      <c r="J479" t="s">
        <v>53</v>
      </c>
      <c r="K479" t="s">
        <v>74</v>
      </c>
      <c r="L479" t="s">
        <v>67</v>
      </c>
      <c r="M479">
        <v>341567</v>
      </c>
      <c r="N479" t="s">
        <v>47</v>
      </c>
      <c r="O479" t="s">
        <v>35</v>
      </c>
      <c r="P479" t="s">
        <v>68</v>
      </c>
      <c r="Q479" t="s">
        <v>147</v>
      </c>
      <c r="R479" t="s">
        <v>60</v>
      </c>
      <c r="S479" t="str">
        <f t="shared" si="7"/>
        <v>45-54</v>
      </c>
    </row>
    <row r="480" spans="1:19" x14ac:dyDescent="0.3">
      <c r="A480">
        <v>479</v>
      </c>
      <c r="B480" t="s">
        <v>226</v>
      </c>
      <c r="C480" t="s">
        <v>131</v>
      </c>
      <c r="D480" t="s">
        <v>62</v>
      </c>
      <c r="E480" t="s">
        <v>28</v>
      </c>
      <c r="F480">
        <v>39</v>
      </c>
      <c r="G480" t="s">
        <v>198</v>
      </c>
      <c r="H480">
        <v>15</v>
      </c>
      <c r="I480" t="s">
        <v>199</v>
      </c>
      <c r="J480" t="s">
        <v>123</v>
      </c>
      <c r="K480" t="s">
        <v>261</v>
      </c>
      <c r="L480" t="s">
        <v>46</v>
      </c>
      <c r="M480">
        <v>213254</v>
      </c>
      <c r="N480" t="s">
        <v>115</v>
      </c>
      <c r="O480" t="s">
        <v>75</v>
      </c>
      <c r="P480" t="s">
        <v>68</v>
      </c>
      <c r="Q480" t="s">
        <v>147</v>
      </c>
      <c r="R480" t="s">
        <v>126</v>
      </c>
      <c r="S480" t="str">
        <f t="shared" si="7"/>
        <v>35-44</v>
      </c>
    </row>
    <row r="481" spans="1:19" x14ac:dyDescent="0.3">
      <c r="A481">
        <v>480</v>
      </c>
      <c r="B481" t="s">
        <v>116</v>
      </c>
      <c r="C481" t="s">
        <v>136</v>
      </c>
      <c r="D481" t="s">
        <v>224</v>
      </c>
      <c r="E481" t="s">
        <v>28</v>
      </c>
      <c r="F481">
        <v>48</v>
      </c>
      <c r="G481" t="s">
        <v>198</v>
      </c>
      <c r="H481">
        <v>28</v>
      </c>
      <c r="I481" t="s">
        <v>43</v>
      </c>
      <c r="J481" t="s">
        <v>31</v>
      </c>
      <c r="K481" t="s">
        <v>182</v>
      </c>
      <c r="L481" t="s">
        <v>206</v>
      </c>
      <c r="M481">
        <v>10004</v>
      </c>
      <c r="N481" t="s">
        <v>115</v>
      </c>
      <c r="O481" t="s">
        <v>35</v>
      </c>
      <c r="P481" t="s">
        <v>89</v>
      </c>
      <c r="Q481" t="s">
        <v>155</v>
      </c>
      <c r="R481" t="s">
        <v>83</v>
      </c>
      <c r="S481" t="str">
        <f t="shared" si="7"/>
        <v>45-54</v>
      </c>
    </row>
    <row r="482" spans="1:19" x14ac:dyDescent="0.3">
      <c r="A482">
        <v>481</v>
      </c>
      <c r="B482" t="s">
        <v>91</v>
      </c>
      <c r="C482" t="s">
        <v>128</v>
      </c>
      <c r="D482" t="s">
        <v>244</v>
      </c>
      <c r="E482" t="s">
        <v>51</v>
      </c>
      <c r="F482">
        <v>44</v>
      </c>
      <c r="G482" t="s">
        <v>144</v>
      </c>
      <c r="H482">
        <v>30</v>
      </c>
      <c r="I482" t="s">
        <v>30</v>
      </c>
      <c r="J482" t="s">
        <v>94</v>
      </c>
      <c r="K482" t="s">
        <v>100</v>
      </c>
      <c r="L482" t="s">
        <v>46</v>
      </c>
      <c r="M482">
        <v>346989</v>
      </c>
      <c r="N482" t="s">
        <v>34</v>
      </c>
      <c r="O482" t="s">
        <v>57</v>
      </c>
      <c r="P482" t="s">
        <v>97</v>
      </c>
      <c r="Q482" t="s">
        <v>98</v>
      </c>
      <c r="R482" t="s">
        <v>126</v>
      </c>
      <c r="S482" t="str">
        <f t="shared" si="7"/>
        <v>35-44</v>
      </c>
    </row>
    <row r="483" spans="1:19" x14ac:dyDescent="0.3">
      <c r="A483">
        <v>482</v>
      </c>
      <c r="B483" t="s">
        <v>235</v>
      </c>
      <c r="C483" t="s">
        <v>146</v>
      </c>
      <c r="D483" t="s">
        <v>273</v>
      </c>
      <c r="E483" t="s">
        <v>51</v>
      </c>
      <c r="F483">
        <v>53</v>
      </c>
      <c r="G483" t="s">
        <v>198</v>
      </c>
      <c r="H483">
        <v>16</v>
      </c>
      <c r="I483" t="s">
        <v>199</v>
      </c>
      <c r="J483" t="s">
        <v>31</v>
      </c>
      <c r="K483" t="s">
        <v>321</v>
      </c>
      <c r="L483" t="s">
        <v>67</v>
      </c>
      <c r="M483">
        <v>332727</v>
      </c>
      <c r="N483" t="s">
        <v>47</v>
      </c>
      <c r="O483" t="s">
        <v>57</v>
      </c>
      <c r="P483" t="s">
        <v>97</v>
      </c>
      <c r="Q483" t="s">
        <v>278</v>
      </c>
      <c r="R483" t="s">
        <v>38</v>
      </c>
      <c r="S483" t="str">
        <f t="shared" si="7"/>
        <v>45-54</v>
      </c>
    </row>
    <row r="484" spans="1:19" x14ac:dyDescent="0.3">
      <c r="A484">
        <v>483</v>
      </c>
      <c r="B484" t="s">
        <v>25</v>
      </c>
      <c r="C484" t="s">
        <v>236</v>
      </c>
      <c r="D484" t="s">
        <v>121</v>
      </c>
      <c r="E484" t="s">
        <v>28</v>
      </c>
      <c r="F484">
        <v>54</v>
      </c>
      <c r="G484" t="s">
        <v>79</v>
      </c>
      <c r="H484">
        <v>6</v>
      </c>
      <c r="I484" t="s">
        <v>52</v>
      </c>
      <c r="J484" t="s">
        <v>44</v>
      </c>
      <c r="K484" t="s">
        <v>88</v>
      </c>
      <c r="L484" t="s">
        <v>206</v>
      </c>
      <c r="M484">
        <v>341865</v>
      </c>
      <c r="N484" t="s">
        <v>115</v>
      </c>
      <c r="O484" t="s">
        <v>75</v>
      </c>
      <c r="P484" t="s">
        <v>217</v>
      </c>
      <c r="Q484" t="s">
        <v>303</v>
      </c>
      <c r="R484" t="s">
        <v>103</v>
      </c>
      <c r="S484" t="str">
        <f t="shared" si="7"/>
        <v>45-54</v>
      </c>
    </row>
    <row r="485" spans="1:19" x14ac:dyDescent="0.3">
      <c r="A485">
        <v>484</v>
      </c>
      <c r="B485" t="s">
        <v>322</v>
      </c>
      <c r="C485" t="s">
        <v>249</v>
      </c>
      <c r="D485" t="s">
        <v>71</v>
      </c>
      <c r="E485" t="s">
        <v>28</v>
      </c>
      <c r="F485">
        <v>42</v>
      </c>
      <c r="G485" t="s">
        <v>107</v>
      </c>
      <c r="H485">
        <v>21</v>
      </c>
      <c r="I485" t="s">
        <v>73</v>
      </c>
      <c r="J485" t="s">
        <v>113</v>
      </c>
      <c r="K485" t="s">
        <v>315</v>
      </c>
      <c r="L485" t="s">
        <v>206</v>
      </c>
      <c r="M485">
        <v>16286</v>
      </c>
      <c r="N485" t="s">
        <v>47</v>
      </c>
      <c r="O485" t="s">
        <v>75</v>
      </c>
      <c r="P485" t="s">
        <v>76</v>
      </c>
      <c r="Q485" t="s">
        <v>305</v>
      </c>
      <c r="R485" t="s">
        <v>126</v>
      </c>
      <c r="S485" t="str">
        <f t="shared" si="7"/>
        <v>35-44</v>
      </c>
    </row>
    <row r="486" spans="1:19" x14ac:dyDescent="0.3">
      <c r="A486">
        <v>485</v>
      </c>
      <c r="B486" t="s">
        <v>116</v>
      </c>
      <c r="C486" t="s">
        <v>211</v>
      </c>
      <c r="D486" t="s">
        <v>181</v>
      </c>
      <c r="E486" t="s">
        <v>28</v>
      </c>
      <c r="F486">
        <v>21</v>
      </c>
      <c r="G486" t="s">
        <v>107</v>
      </c>
      <c r="H486">
        <v>30</v>
      </c>
      <c r="I486" t="s">
        <v>132</v>
      </c>
      <c r="J486" t="s">
        <v>113</v>
      </c>
      <c r="K486" t="s">
        <v>283</v>
      </c>
      <c r="L486" t="s">
        <v>46</v>
      </c>
      <c r="M486">
        <v>131129</v>
      </c>
      <c r="N486" t="s">
        <v>34</v>
      </c>
      <c r="O486" t="s">
        <v>57</v>
      </c>
      <c r="P486" t="s">
        <v>101</v>
      </c>
      <c r="Q486" t="s">
        <v>82</v>
      </c>
      <c r="R486" t="s">
        <v>83</v>
      </c>
      <c r="S486" t="str">
        <f t="shared" si="7"/>
        <v>18-24</v>
      </c>
    </row>
    <row r="487" spans="1:19" x14ac:dyDescent="0.3">
      <c r="A487">
        <v>486</v>
      </c>
      <c r="B487" t="s">
        <v>159</v>
      </c>
      <c r="C487" t="s">
        <v>86</v>
      </c>
      <c r="D487" t="s">
        <v>280</v>
      </c>
      <c r="E487" t="s">
        <v>28</v>
      </c>
      <c r="F487">
        <v>26</v>
      </c>
      <c r="G487" t="s">
        <v>42</v>
      </c>
      <c r="H487">
        <v>23</v>
      </c>
      <c r="I487" t="s">
        <v>112</v>
      </c>
      <c r="J487" t="s">
        <v>164</v>
      </c>
      <c r="K487" t="s">
        <v>179</v>
      </c>
      <c r="L487" t="s">
        <v>206</v>
      </c>
      <c r="M487">
        <v>191174</v>
      </c>
      <c r="N487" t="s">
        <v>56</v>
      </c>
      <c r="O487" t="s">
        <v>75</v>
      </c>
      <c r="P487" t="s">
        <v>76</v>
      </c>
      <c r="Q487" t="s">
        <v>77</v>
      </c>
      <c r="R487" t="s">
        <v>38</v>
      </c>
      <c r="S487" t="str">
        <f t="shared" si="7"/>
        <v>25-34</v>
      </c>
    </row>
    <row r="488" spans="1:19" x14ac:dyDescent="0.3">
      <c r="A488">
        <v>487</v>
      </c>
      <c r="B488" t="s">
        <v>148</v>
      </c>
      <c r="C488" t="s">
        <v>178</v>
      </c>
      <c r="D488" t="s">
        <v>27</v>
      </c>
      <c r="E488" t="s">
        <v>28</v>
      </c>
      <c r="F488">
        <v>21</v>
      </c>
      <c r="G488" t="s">
        <v>42</v>
      </c>
      <c r="H488">
        <v>22</v>
      </c>
      <c r="I488" t="s">
        <v>43</v>
      </c>
      <c r="J488" t="s">
        <v>123</v>
      </c>
      <c r="K488" t="s">
        <v>327</v>
      </c>
      <c r="L488" t="s">
        <v>206</v>
      </c>
      <c r="M488">
        <v>124103</v>
      </c>
      <c r="N488" t="s">
        <v>56</v>
      </c>
      <c r="O488" t="s">
        <v>75</v>
      </c>
      <c r="P488" t="s">
        <v>101</v>
      </c>
      <c r="Q488" t="s">
        <v>77</v>
      </c>
      <c r="R488" t="s">
        <v>60</v>
      </c>
      <c r="S488" t="str">
        <f t="shared" si="7"/>
        <v>18-24</v>
      </c>
    </row>
    <row r="489" spans="1:19" x14ac:dyDescent="0.3">
      <c r="A489">
        <v>488</v>
      </c>
      <c r="B489" t="s">
        <v>61</v>
      </c>
      <c r="C489" t="s">
        <v>189</v>
      </c>
      <c r="D489" t="s">
        <v>110</v>
      </c>
      <c r="E489" t="s">
        <v>51</v>
      </c>
      <c r="F489">
        <v>61</v>
      </c>
      <c r="G489" t="s">
        <v>79</v>
      </c>
      <c r="H489">
        <v>15</v>
      </c>
      <c r="I489" t="s">
        <v>52</v>
      </c>
      <c r="J489" t="s">
        <v>94</v>
      </c>
      <c r="K489" t="s">
        <v>306</v>
      </c>
      <c r="L489" t="s">
        <v>206</v>
      </c>
      <c r="M489">
        <v>312707</v>
      </c>
      <c r="N489" t="s">
        <v>34</v>
      </c>
      <c r="O489" t="s">
        <v>35</v>
      </c>
      <c r="P489" t="s">
        <v>101</v>
      </c>
      <c r="Q489" t="s">
        <v>125</v>
      </c>
      <c r="R489" t="s">
        <v>103</v>
      </c>
      <c r="S489" t="str">
        <f t="shared" si="7"/>
        <v>55-65</v>
      </c>
    </row>
    <row r="490" spans="1:19" x14ac:dyDescent="0.3">
      <c r="A490">
        <v>489</v>
      </c>
      <c r="B490" t="s">
        <v>256</v>
      </c>
      <c r="C490" t="s">
        <v>280</v>
      </c>
      <c r="D490" t="s">
        <v>273</v>
      </c>
      <c r="E490" t="s">
        <v>28</v>
      </c>
      <c r="F490">
        <v>49</v>
      </c>
      <c r="G490" t="s">
        <v>144</v>
      </c>
      <c r="H490">
        <v>9</v>
      </c>
      <c r="I490" t="s">
        <v>118</v>
      </c>
      <c r="J490" t="s">
        <v>113</v>
      </c>
      <c r="K490" t="s">
        <v>281</v>
      </c>
      <c r="L490" t="s">
        <v>33</v>
      </c>
      <c r="M490">
        <v>184637</v>
      </c>
      <c r="N490" t="s">
        <v>47</v>
      </c>
      <c r="O490" t="s">
        <v>57</v>
      </c>
      <c r="P490" t="s">
        <v>169</v>
      </c>
      <c r="Q490" t="s">
        <v>207</v>
      </c>
      <c r="R490" t="s">
        <v>126</v>
      </c>
      <c r="S490" t="str">
        <f t="shared" si="7"/>
        <v>45-54</v>
      </c>
    </row>
    <row r="491" spans="1:19" x14ac:dyDescent="0.3">
      <c r="A491">
        <v>490</v>
      </c>
      <c r="B491" t="s">
        <v>201</v>
      </c>
      <c r="C491" t="s">
        <v>178</v>
      </c>
      <c r="D491" t="s">
        <v>136</v>
      </c>
      <c r="E491" t="s">
        <v>28</v>
      </c>
      <c r="F491">
        <v>36</v>
      </c>
      <c r="G491" t="s">
        <v>198</v>
      </c>
      <c r="H491">
        <v>24</v>
      </c>
      <c r="I491" t="s">
        <v>43</v>
      </c>
      <c r="J491" t="s">
        <v>44</v>
      </c>
      <c r="K491" t="s">
        <v>44</v>
      </c>
      <c r="L491" t="s">
        <v>67</v>
      </c>
      <c r="M491">
        <v>12603</v>
      </c>
      <c r="N491" t="s">
        <v>56</v>
      </c>
      <c r="O491" t="s">
        <v>75</v>
      </c>
      <c r="P491" t="s">
        <v>68</v>
      </c>
      <c r="Q491" t="s">
        <v>69</v>
      </c>
      <c r="R491" t="s">
        <v>83</v>
      </c>
      <c r="S491" t="str">
        <f t="shared" si="7"/>
        <v>35-44</v>
      </c>
    </row>
    <row r="492" spans="1:19" x14ac:dyDescent="0.3">
      <c r="A492">
        <v>491</v>
      </c>
      <c r="B492" t="s">
        <v>91</v>
      </c>
      <c r="C492" t="s">
        <v>181</v>
      </c>
      <c r="D492" t="s">
        <v>215</v>
      </c>
      <c r="E492" t="s">
        <v>51</v>
      </c>
      <c r="F492">
        <v>55</v>
      </c>
      <c r="G492" t="s">
        <v>72</v>
      </c>
      <c r="H492">
        <v>26</v>
      </c>
      <c r="I492" t="s">
        <v>73</v>
      </c>
      <c r="J492" t="s">
        <v>53</v>
      </c>
      <c r="K492" t="s">
        <v>141</v>
      </c>
      <c r="L492" t="s">
        <v>55</v>
      </c>
      <c r="M492">
        <v>158613</v>
      </c>
      <c r="N492" t="s">
        <v>56</v>
      </c>
      <c r="O492" t="s">
        <v>35</v>
      </c>
      <c r="P492" t="s">
        <v>36</v>
      </c>
      <c r="Q492" t="s">
        <v>185</v>
      </c>
      <c r="R492" t="s">
        <v>83</v>
      </c>
      <c r="S492" t="str">
        <f t="shared" si="7"/>
        <v>55-65</v>
      </c>
    </row>
    <row r="493" spans="1:19" x14ac:dyDescent="0.3">
      <c r="A493">
        <v>492</v>
      </c>
      <c r="B493" t="s">
        <v>162</v>
      </c>
      <c r="C493" t="s">
        <v>128</v>
      </c>
      <c r="D493" t="s">
        <v>236</v>
      </c>
      <c r="E493" t="s">
        <v>28</v>
      </c>
      <c r="F493">
        <v>27</v>
      </c>
      <c r="G493" t="s">
        <v>87</v>
      </c>
      <c r="H493">
        <v>10</v>
      </c>
      <c r="I493" t="s">
        <v>80</v>
      </c>
      <c r="J493" t="s">
        <v>164</v>
      </c>
      <c r="K493" t="s">
        <v>164</v>
      </c>
      <c r="L493" t="s">
        <v>67</v>
      </c>
      <c r="M493">
        <v>162295</v>
      </c>
      <c r="N493" t="s">
        <v>56</v>
      </c>
      <c r="O493" t="s">
        <v>35</v>
      </c>
      <c r="P493" t="s">
        <v>76</v>
      </c>
      <c r="Q493" t="s">
        <v>272</v>
      </c>
      <c r="R493" t="s">
        <v>126</v>
      </c>
      <c r="S493" t="str">
        <f t="shared" si="7"/>
        <v>25-34</v>
      </c>
    </row>
    <row r="494" spans="1:19" x14ac:dyDescent="0.3">
      <c r="A494">
        <v>493</v>
      </c>
      <c r="B494" t="s">
        <v>223</v>
      </c>
      <c r="C494" t="s">
        <v>175</v>
      </c>
      <c r="D494" t="s">
        <v>86</v>
      </c>
      <c r="E494" t="s">
        <v>51</v>
      </c>
      <c r="F494">
        <v>28</v>
      </c>
      <c r="G494" t="s">
        <v>107</v>
      </c>
      <c r="H494">
        <v>29</v>
      </c>
      <c r="I494" t="s">
        <v>132</v>
      </c>
      <c r="J494" t="s">
        <v>44</v>
      </c>
      <c r="K494" t="s">
        <v>293</v>
      </c>
      <c r="L494" t="s">
        <v>55</v>
      </c>
      <c r="M494">
        <v>19197</v>
      </c>
      <c r="N494" t="s">
        <v>56</v>
      </c>
      <c r="O494" t="s">
        <v>35</v>
      </c>
      <c r="P494" t="s">
        <v>68</v>
      </c>
      <c r="Q494" t="s">
        <v>69</v>
      </c>
      <c r="R494" t="s">
        <v>103</v>
      </c>
      <c r="S494" t="str">
        <f t="shared" si="7"/>
        <v>25-34</v>
      </c>
    </row>
    <row r="495" spans="1:19" x14ac:dyDescent="0.3">
      <c r="A495">
        <v>494</v>
      </c>
      <c r="B495" t="s">
        <v>328</v>
      </c>
      <c r="C495" t="s">
        <v>175</v>
      </c>
      <c r="D495" t="s">
        <v>157</v>
      </c>
      <c r="E495" t="s">
        <v>51</v>
      </c>
      <c r="F495">
        <v>40</v>
      </c>
      <c r="G495" t="s">
        <v>42</v>
      </c>
      <c r="H495">
        <v>23</v>
      </c>
      <c r="I495" t="s">
        <v>112</v>
      </c>
      <c r="J495" t="s">
        <v>113</v>
      </c>
      <c r="K495" t="s">
        <v>114</v>
      </c>
      <c r="L495" t="s">
        <v>67</v>
      </c>
      <c r="M495">
        <v>159708</v>
      </c>
      <c r="N495" t="s">
        <v>56</v>
      </c>
      <c r="O495" t="s">
        <v>57</v>
      </c>
      <c r="P495" t="s">
        <v>169</v>
      </c>
      <c r="Q495" t="s">
        <v>240</v>
      </c>
      <c r="R495" t="s">
        <v>60</v>
      </c>
      <c r="S495" t="str">
        <f t="shared" si="7"/>
        <v>35-44</v>
      </c>
    </row>
    <row r="496" spans="1:19" x14ac:dyDescent="0.3">
      <c r="A496">
        <v>495</v>
      </c>
      <c r="B496" t="s">
        <v>153</v>
      </c>
      <c r="C496" t="s">
        <v>117</v>
      </c>
      <c r="D496" t="s">
        <v>111</v>
      </c>
      <c r="E496" t="s">
        <v>28</v>
      </c>
      <c r="F496">
        <v>27</v>
      </c>
      <c r="G496" t="s">
        <v>144</v>
      </c>
      <c r="H496">
        <v>31</v>
      </c>
      <c r="I496" t="s">
        <v>30</v>
      </c>
      <c r="J496" t="s">
        <v>123</v>
      </c>
      <c r="K496" t="s">
        <v>262</v>
      </c>
      <c r="L496" t="s">
        <v>55</v>
      </c>
      <c r="M496">
        <v>341582</v>
      </c>
      <c r="N496" t="s">
        <v>47</v>
      </c>
      <c r="O496" t="s">
        <v>57</v>
      </c>
      <c r="P496" t="s">
        <v>97</v>
      </c>
      <c r="Q496" t="s">
        <v>152</v>
      </c>
      <c r="R496" t="s">
        <v>83</v>
      </c>
      <c r="S496" t="str">
        <f t="shared" si="7"/>
        <v>25-34</v>
      </c>
    </row>
    <row r="497" spans="1:19" x14ac:dyDescent="0.3">
      <c r="A497">
        <v>496</v>
      </c>
      <c r="B497" t="s">
        <v>297</v>
      </c>
      <c r="C497" t="s">
        <v>106</v>
      </c>
      <c r="D497" t="s">
        <v>138</v>
      </c>
      <c r="E497" t="s">
        <v>28</v>
      </c>
      <c r="F497">
        <v>20</v>
      </c>
      <c r="G497" t="s">
        <v>87</v>
      </c>
      <c r="H497">
        <v>23</v>
      </c>
      <c r="I497" t="s">
        <v>140</v>
      </c>
      <c r="J497" t="s">
        <v>113</v>
      </c>
      <c r="K497" t="s">
        <v>323</v>
      </c>
      <c r="L497" t="s">
        <v>33</v>
      </c>
      <c r="M497">
        <v>45322</v>
      </c>
      <c r="N497" t="s">
        <v>96</v>
      </c>
      <c r="O497" t="s">
        <v>75</v>
      </c>
      <c r="P497" t="s">
        <v>169</v>
      </c>
      <c r="Q497" t="s">
        <v>170</v>
      </c>
      <c r="R497" t="s">
        <v>38</v>
      </c>
      <c r="S497" t="str">
        <f t="shared" si="7"/>
        <v>18-24</v>
      </c>
    </row>
    <row r="498" spans="1:19" x14ac:dyDescent="0.3">
      <c r="A498">
        <v>497</v>
      </c>
      <c r="B498" t="s">
        <v>274</v>
      </c>
      <c r="C498" t="s">
        <v>204</v>
      </c>
      <c r="D498" t="s">
        <v>187</v>
      </c>
      <c r="E498" t="s">
        <v>51</v>
      </c>
      <c r="F498">
        <v>55</v>
      </c>
      <c r="G498" t="s">
        <v>194</v>
      </c>
      <c r="H498">
        <v>20</v>
      </c>
      <c r="I498" t="s">
        <v>65</v>
      </c>
      <c r="J498" t="s">
        <v>44</v>
      </c>
      <c r="K498" t="s">
        <v>219</v>
      </c>
      <c r="L498" t="s">
        <v>55</v>
      </c>
      <c r="M498">
        <v>274543</v>
      </c>
      <c r="N498" t="s">
        <v>115</v>
      </c>
      <c r="O498" t="s">
        <v>35</v>
      </c>
      <c r="P498" t="s">
        <v>36</v>
      </c>
      <c r="Q498" t="s">
        <v>161</v>
      </c>
      <c r="R498" t="s">
        <v>60</v>
      </c>
      <c r="S498" t="str">
        <f t="shared" si="7"/>
        <v>55-65</v>
      </c>
    </row>
    <row r="499" spans="1:19" x14ac:dyDescent="0.3">
      <c r="A499">
        <v>498</v>
      </c>
      <c r="B499" t="s">
        <v>318</v>
      </c>
      <c r="C499" t="s">
        <v>163</v>
      </c>
      <c r="D499" t="s">
        <v>92</v>
      </c>
      <c r="E499" t="s">
        <v>51</v>
      </c>
      <c r="F499">
        <v>60</v>
      </c>
      <c r="G499" t="s">
        <v>29</v>
      </c>
      <c r="H499">
        <v>16</v>
      </c>
      <c r="I499" t="s">
        <v>30</v>
      </c>
      <c r="J499" t="s">
        <v>53</v>
      </c>
      <c r="K499" t="s">
        <v>53</v>
      </c>
      <c r="L499" t="s">
        <v>206</v>
      </c>
      <c r="M499">
        <v>56041</v>
      </c>
      <c r="N499" t="s">
        <v>47</v>
      </c>
      <c r="O499" t="s">
        <v>57</v>
      </c>
      <c r="P499" t="s">
        <v>76</v>
      </c>
      <c r="Q499" t="s">
        <v>200</v>
      </c>
      <c r="R499" t="s">
        <v>83</v>
      </c>
      <c r="S499" t="str">
        <f t="shared" si="7"/>
        <v>55-65</v>
      </c>
    </row>
    <row r="500" spans="1:19" x14ac:dyDescent="0.3">
      <c r="A500">
        <v>499</v>
      </c>
      <c r="B500" t="s">
        <v>256</v>
      </c>
      <c r="C500" t="s">
        <v>178</v>
      </c>
      <c r="D500" t="s">
        <v>178</v>
      </c>
      <c r="E500" t="s">
        <v>28</v>
      </c>
      <c r="F500">
        <v>23</v>
      </c>
      <c r="G500" t="s">
        <v>79</v>
      </c>
      <c r="H500">
        <v>15</v>
      </c>
      <c r="I500" t="s">
        <v>52</v>
      </c>
      <c r="J500" t="s">
        <v>164</v>
      </c>
      <c r="K500" t="s">
        <v>209</v>
      </c>
      <c r="L500" t="s">
        <v>206</v>
      </c>
      <c r="M500">
        <v>260827</v>
      </c>
      <c r="N500" t="s">
        <v>96</v>
      </c>
      <c r="O500" t="s">
        <v>57</v>
      </c>
      <c r="P500" t="s">
        <v>68</v>
      </c>
      <c r="Q500" t="s">
        <v>134</v>
      </c>
      <c r="R500" t="s">
        <v>38</v>
      </c>
      <c r="S500" t="str">
        <f t="shared" si="7"/>
        <v>18-24</v>
      </c>
    </row>
    <row r="501" spans="1:19" x14ac:dyDescent="0.3">
      <c r="A501">
        <v>500</v>
      </c>
      <c r="B501" t="s">
        <v>247</v>
      </c>
      <c r="C501" t="s">
        <v>131</v>
      </c>
      <c r="D501" t="s">
        <v>244</v>
      </c>
      <c r="E501" t="s">
        <v>51</v>
      </c>
      <c r="F501">
        <v>37</v>
      </c>
      <c r="G501" t="s">
        <v>150</v>
      </c>
      <c r="H501">
        <v>3</v>
      </c>
      <c r="I501" t="s">
        <v>112</v>
      </c>
      <c r="J501" t="s">
        <v>31</v>
      </c>
      <c r="K501" t="s">
        <v>312</v>
      </c>
      <c r="L501" t="s">
        <v>33</v>
      </c>
      <c r="M501">
        <v>345390</v>
      </c>
      <c r="N501" t="s">
        <v>56</v>
      </c>
      <c r="O501" t="s">
        <v>57</v>
      </c>
      <c r="P501" t="s">
        <v>89</v>
      </c>
      <c r="Q501" t="s">
        <v>119</v>
      </c>
      <c r="R501" t="s">
        <v>60</v>
      </c>
      <c r="S501" t="str">
        <f t="shared" si="7"/>
        <v>35-44</v>
      </c>
    </row>
    <row r="502" spans="1:19" x14ac:dyDescent="0.3">
      <c r="A502">
        <v>501</v>
      </c>
      <c r="B502" t="s">
        <v>314</v>
      </c>
      <c r="C502" t="s">
        <v>249</v>
      </c>
      <c r="D502" t="s">
        <v>27</v>
      </c>
      <c r="E502" t="s">
        <v>28</v>
      </c>
      <c r="F502">
        <v>63</v>
      </c>
      <c r="G502" t="s">
        <v>139</v>
      </c>
      <c r="H502">
        <v>6</v>
      </c>
      <c r="I502" t="s">
        <v>140</v>
      </c>
      <c r="J502" t="s">
        <v>94</v>
      </c>
      <c r="K502" t="s">
        <v>95</v>
      </c>
      <c r="L502" t="s">
        <v>206</v>
      </c>
      <c r="M502">
        <v>73744</v>
      </c>
      <c r="N502" t="s">
        <v>47</v>
      </c>
      <c r="O502" t="s">
        <v>75</v>
      </c>
      <c r="P502" t="s">
        <v>217</v>
      </c>
      <c r="Q502" t="s">
        <v>220</v>
      </c>
      <c r="R502" t="s">
        <v>103</v>
      </c>
      <c r="S502" t="str">
        <f t="shared" si="7"/>
        <v>55-65</v>
      </c>
    </row>
    <row r="503" spans="1:19" x14ac:dyDescent="0.3">
      <c r="A503">
        <v>502</v>
      </c>
      <c r="B503" t="s">
        <v>120</v>
      </c>
      <c r="C503" t="s">
        <v>244</v>
      </c>
      <c r="D503" t="s">
        <v>160</v>
      </c>
      <c r="E503" t="s">
        <v>28</v>
      </c>
      <c r="F503">
        <v>32</v>
      </c>
      <c r="G503" t="s">
        <v>198</v>
      </c>
      <c r="H503">
        <v>18</v>
      </c>
      <c r="I503" t="s">
        <v>199</v>
      </c>
      <c r="J503" t="s">
        <v>44</v>
      </c>
      <c r="K503" t="s">
        <v>88</v>
      </c>
      <c r="L503" t="s">
        <v>55</v>
      </c>
      <c r="M503">
        <v>58138</v>
      </c>
      <c r="N503" t="s">
        <v>96</v>
      </c>
      <c r="O503" t="s">
        <v>35</v>
      </c>
      <c r="P503" t="s">
        <v>97</v>
      </c>
      <c r="Q503" t="s">
        <v>98</v>
      </c>
      <c r="R503" t="s">
        <v>83</v>
      </c>
      <c r="S503" t="str">
        <f t="shared" si="7"/>
        <v>25-34</v>
      </c>
    </row>
    <row r="504" spans="1:19" x14ac:dyDescent="0.3">
      <c r="A504">
        <v>503</v>
      </c>
      <c r="B504" t="s">
        <v>223</v>
      </c>
      <c r="C504" t="s">
        <v>117</v>
      </c>
      <c r="D504" t="s">
        <v>146</v>
      </c>
      <c r="E504" t="s">
        <v>51</v>
      </c>
      <c r="F504">
        <v>35</v>
      </c>
      <c r="G504" t="s">
        <v>72</v>
      </c>
      <c r="H504">
        <v>8</v>
      </c>
      <c r="I504" t="s">
        <v>122</v>
      </c>
      <c r="J504" t="s">
        <v>113</v>
      </c>
      <c r="K504" t="s">
        <v>168</v>
      </c>
      <c r="L504" t="s">
        <v>55</v>
      </c>
      <c r="M504">
        <v>211618</v>
      </c>
      <c r="N504" t="s">
        <v>56</v>
      </c>
      <c r="O504" t="s">
        <v>57</v>
      </c>
      <c r="P504" t="s">
        <v>89</v>
      </c>
      <c r="Q504" t="s">
        <v>248</v>
      </c>
      <c r="R504" t="s">
        <v>126</v>
      </c>
      <c r="S504" t="str">
        <f t="shared" si="7"/>
        <v>35-44</v>
      </c>
    </row>
    <row r="505" spans="1:19" x14ac:dyDescent="0.3">
      <c r="A505">
        <v>504</v>
      </c>
      <c r="B505" t="s">
        <v>228</v>
      </c>
      <c r="C505" t="s">
        <v>249</v>
      </c>
      <c r="D505" t="s">
        <v>189</v>
      </c>
      <c r="E505" t="s">
        <v>51</v>
      </c>
      <c r="F505">
        <v>41</v>
      </c>
      <c r="G505" t="s">
        <v>198</v>
      </c>
      <c r="H505">
        <v>23</v>
      </c>
      <c r="I505" t="s">
        <v>43</v>
      </c>
      <c r="J505" t="s">
        <v>164</v>
      </c>
      <c r="K505" t="s">
        <v>164</v>
      </c>
      <c r="L505" t="s">
        <v>55</v>
      </c>
      <c r="M505">
        <v>11053</v>
      </c>
      <c r="N505" t="s">
        <v>115</v>
      </c>
      <c r="O505" t="s">
        <v>75</v>
      </c>
      <c r="P505" t="s">
        <v>36</v>
      </c>
      <c r="Q505" t="s">
        <v>185</v>
      </c>
      <c r="R505" t="s">
        <v>60</v>
      </c>
      <c r="S505" t="str">
        <f t="shared" si="7"/>
        <v>35-44</v>
      </c>
    </row>
    <row r="506" spans="1:19" x14ac:dyDescent="0.3">
      <c r="A506">
        <v>505</v>
      </c>
      <c r="B506" t="s">
        <v>148</v>
      </c>
      <c r="C506" t="s">
        <v>71</v>
      </c>
      <c r="D506" t="s">
        <v>146</v>
      </c>
      <c r="E506" t="s">
        <v>28</v>
      </c>
      <c r="F506">
        <v>35</v>
      </c>
      <c r="G506" t="s">
        <v>144</v>
      </c>
      <c r="H506">
        <v>12</v>
      </c>
      <c r="I506" t="s">
        <v>118</v>
      </c>
      <c r="J506" t="s">
        <v>31</v>
      </c>
      <c r="K506" t="s">
        <v>31</v>
      </c>
      <c r="L506" t="s">
        <v>55</v>
      </c>
      <c r="M506">
        <v>224505</v>
      </c>
      <c r="N506" t="s">
        <v>34</v>
      </c>
      <c r="O506" t="s">
        <v>57</v>
      </c>
      <c r="P506" t="s">
        <v>76</v>
      </c>
      <c r="Q506" t="s">
        <v>200</v>
      </c>
      <c r="R506" t="s">
        <v>83</v>
      </c>
      <c r="S506" t="str">
        <f t="shared" si="7"/>
        <v>35-44</v>
      </c>
    </row>
    <row r="507" spans="1:19" x14ac:dyDescent="0.3">
      <c r="A507">
        <v>506</v>
      </c>
      <c r="B507" t="s">
        <v>39</v>
      </c>
      <c r="C507" t="s">
        <v>183</v>
      </c>
      <c r="D507" t="s">
        <v>111</v>
      </c>
      <c r="E507" t="s">
        <v>28</v>
      </c>
      <c r="F507">
        <v>56</v>
      </c>
      <c r="G507" t="s">
        <v>72</v>
      </c>
      <c r="H507">
        <v>6</v>
      </c>
      <c r="I507" t="s">
        <v>122</v>
      </c>
      <c r="J507" t="s">
        <v>164</v>
      </c>
      <c r="K507" t="s">
        <v>164</v>
      </c>
      <c r="L507" t="s">
        <v>55</v>
      </c>
      <c r="M507">
        <v>116299</v>
      </c>
      <c r="N507" t="s">
        <v>47</v>
      </c>
      <c r="O507" t="s">
        <v>57</v>
      </c>
      <c r="P507" t="s">
        <v>169</v>
      </c>
      <c r="Q507" t="s">
        <v>170</v>
      </c>
      <c r="R507" t="s">
        <v>83</v>
      </c>
      <c r="S507" t="str">
        <f t="shared" si="7"/>
        <v>55-65</v>
      </c>
    </row>
    <row r="508" spans="1:19" x14ac:dyDescent="0.3">
      <c r="A508">
        <v>507</v>
      </c>
      <c r="B508" t="s">
        <v>137</v>
      </c>
      <c r="C508" t="s">
        <v>244</v>
      </c>
      <c r="D508" t="s">
        <v>178</v>
      </c>
      <c r="E508" t="s">
        <v>28</v>
      </c>
      <c r="F508">
        <v>36</v>
      </c>
      <c r="G508" t="s">
        <v>144</v>
      </c>
      <c r="H508">
        <v>1</v>
      </c>
      <c r="I508" t="s">
        <v>118</v>
      </c>
      <c r="J508" t="s">
        <v>31</v>
      </c>
      <c r="K508" t="s">
        <v>257</v>
      </c>
      <c r="L508" t="s">
        <v>67</v>
      </c>
      <c r="M508">
        <v>147138</v>
      </c>
      <c r="N508" t="s">
        <v>34</v>
      </c>
      <c r="O508" t="s">
        <v>35</v>
      </c>
      <c r="P508" t="s">
        <v>76</v>
      </c>
      <c r="Q508" t="s">
        <v>200</v>
      </c>
      <c r="R508" t="s">
        <v>38</v>
      </c>
      <c r="S508" t="str">
        <f t="shared" si="7"/>
        <v>35-44</v>
      </c>
    </row>
    <row r="509" spans="1:19" x14ac:dyDescent="0.3">
      <c r="A509">
        <v>508</v>
      </c>
      <c r="B509" t="s">
        <v>177</v>
      </c>
      <c r="C509" t="s">
        <v>167</v>
      </c>
      <c r="D509" t="s">
        <v>211</v>
      </c>
      <c r="E509" t="s">
        <v>28</v>
      </c>
      <c r="F509">
        <v>63</v>
      </c>
      <c r="G509" t="s">
        <v>107</v>
      </c>
      <c r="H509">
        <v>27</v>
      </c>
      <c r="I509" t="s">
        <v>132</v>
      </c>
      <c r="J509" t="s">
        <v>94</v>
      </c>
      <c r="K509" t="s">
        <v>151</v>
      </c>
      <c r="L509" t="s">
        <v>33</v>
      </c>
      <c r="M509">
        <v>148984</v>
      </c>
      <c r="N509" t="s">
        <v>34</v>
      </c>
      <c r="O509" t="s">
        <v>35</v>
      </c>
      <c r="P509" t="s">
        <v>36</v>
      </c>
      <c r="Q509" t="s">
        <v>37</v>
      </c>
      <c r="R509" t="s">
        <v>60</v>
      </c>
      <c r="S509" t="str">
        <f t="shared" si="7"/>
        <v>55-65</v>
      </c>
    </row>
    <row r="510" spans="1:19" x14ac:dyDescent="0.3">
      <c r="A510">
        <v>509</v>
      </c>
      <c r="B510" t="s">
        <v>274</v>
      </c>
      <c r="C510" t="s">
        <v>160</v>
      </c>
      <c r="D510" t="s">
        <v>146</v>
      </c>
      <c r="E510" t="s">
        <v>51</v>
      </c>
      <c r="F510">
        <v>56</v>
      </c>
      <c r="G510" t="s">
        <v>87</v>
      </c>
      <c r="H510">
        <v>5</v>
      </c>
      <c r="I510" t="s">
        <v>80</v>
      </c>
      <c r="J510" t="s">
        <v>164</v>
      </c>
      <c r="K510" t="s">
        <v>253</v>
      </c>
      <c r="L510" t="s">
        <v>55</v>
      </c>
      <c r="M510">
        <v>64411</v>
      </c>
      <c r="N510" t="s">
        <v>34</v>
      </c>
      <c r="O510" t="s">
        <v>75</v>
      </c>
      <c r="P510" t="s">
        <v>36</v>
      </c>
      <c r="Q510" t="s">
        <v>234</v>
      </c>
      <c r="R510" t="s">
        <v>60</v>
      </c>
      <c r="S510" t="str">
        <f t="shared" si="7"/>
        <v>55-65</v>
      </c>
    </row>
    <row r="511" spans="1:19" x14ac:dyDescent="0.3">
      <c r="A511">
        <v>510</v>
      </c>
      <c r="B511" t="s">
        <v>296</v>
      </c>
      <c r="C511" t="s">
        <v>146</v>
      </c>
      <c r="D511" t="s">
        <v>50</v>
      </c>
      <c r="E511" t="s">
        <v>28</v>
      </c>
      <c r="F511">
        <v>31</v>
      </c>
      <c r="G511" t="s">
        <v>107</v>
      </c>
      <c r="H511">
        <v>8</v>
      </c>
      <c r="I511" t="s">
        <v>73</v>
      </c>
      <c r="J511" t="s">
        <v>53</v>
      </c>
      <c r="K511" t="s">
        <v>74</v>
      </c>
      <c r="L511" t="s">
        <v>33</v>
      </c>
      <c r="M511">
        <v>151558</v>
      </c>
      <c r="N511" t="s">
        <v>34</v>
      </c>
      <c r="O511" t="s">
        <v>35</v>
      </c>
      <c r="P511" t="s">
        <v>169</v>
      </c>
      <c r="Q511" t="s">
        <v>192</v>
      </c>
      <c r="R511" t="s">
        <v>103</v>
      </c>
      <c r="S511" t="str">
        <f t="shared" si="7"/>
        <v>25-34</v>
      </c>
    </row>
    <row r="512" spans="1:19" x14ac:dyDescent="0.3">
      <c r="A512">
        <v>511</v>
      </c>
      <c r="B512" t="s">
        <v>254</v>
      </c>
      <c r="C512" t="s">
        <v>183</v>
      </c>
      <c r="D512" t="s">
        <v>273</v>
      </c>
      <c r="E512" t="s">
        <v>51</v>
      </c>
      <c r="F512">
        <v>55</v>
      </c>
      <c r="G512" t="s">
        <v>194</v>
      </c>
      <c r="H512">
        <v>26</v>
      </c>
      <c r="I512" t="s">
        <v>65</v>
      </c>
      <c r="J512" t="s">
        <v>44</v>
      </c>
      <c r="K512" t="s">
        <v>81</v>
      </c>
      <c r="L512" t="s">
        <v>55</v>
      </c>
      <c r="M512">
        <v>46028</v>
      </c>
      <c r="N512" t="s">
        <v>34</v>
      </c>
      <c r="O512" t="s">
        <v>35</v>
      </c>
      <c r="P512" t="s">
        <v>97</v>
      </c>
      <c r="Q512" t="s">
        <v>278</v>
      </c>
      <c r="R512" t="s">
        <v>83</v>
      </c>
      <c r="S512" t="str">
        <f t="shared" si="7"/>
        <v>55-65</v>
      </c>
    </row>
    <row r="513" spans="1:19" x14ac:dyDescent="0.3">
      <c r="A513">
        <v>512</v>
      </c>
      <c r="B513" t="s">
        <v>307</v>
      </c>
      <c r="C513" t="s">
        <v>62</v>
      </c>
      <c r="D513" t="s">
        <v>40</v>
      </c>
      <c r="E513" t="s">
        <v>28</v>
      </c>
      <c r="F513">
        <v>60</v>
      </c>
      <c r="G513" t="s">
        <v>29</v>
      </c>
      <c r="H513">
        <v>19</v>
      </c>
      <c r="I513" t="s">
        <v>30</v>
      </c>
      <c r="J513" t="s">
        <v>31</v>
      </c>
      <c r="K513" t="s">
        <v>331</v>
      </c>
      <c r="L513" t="s">
        <v>55</v>
      </c>
      <c r="M513">
        <v>36319</v>
      </c>
      <c r="N513" t="s">
        <v>56</v>
      </c>
      <c r="O513" t="s">
        <v>57</v>
      </c>
      <c r="P513" t="s">
        <v>76</v>
      </c>
      <c r="Q513" t="s">
        <v>82</v>
      </c>
      <c r="R513" t="s">
        <v>83</v>
      </c>
      <c r="S513" t="str">
        <f t="shared" si="7"/>
        <v>55-65</v>
      </c>
    </row>
    <row r="514" spans="1:19" x14ac:dyDescent="0.3">
      <c r="A514">
        <v>513</v>
      </c>
      <c r="B514" t="s">
        <v>39</v>
      </c>
      <c r="C514" t="s">
        <v>111</v>
      </c>
      <c r="D514" t="s">
        <v>106</v>
      </c>
      <c r="E514" t="s">
        <v>28</v>
      </c>
      <c r="F514">
        <v>22</v>
      </c>
      <c r="G514" t="s">
        <v>150</v>
      </c>
      <c r="H514">
        <v>8</v>
      </c>
      <c r="I514" t="s">
        <v>112</v>
      </c>
      <c r="J514" t="s">
        <v>94</v>
      </c>
      <c r="K514" t="s">
        <v>133</v>
      </c>
      <c r="L514" t="s">
        <v>46</v>
      </c>
      <c r="M514">
        <v>268319</v>
      </c>
      <c r="N514" t="s">
        <v>115</v>
      </c>
      <c r="O514" t="s">
        <v>75</v>
      </c>
      <c r="P514" t="s">
        <v>101</v>
      </c>
      <c r="Q514" t="s">
        <v>102</v>
      </c>
      <c r="R514" t="s">
        <v>38</v>
      </c>
      <c r="S514" t="str">
        <f t="shared" ref="S514:S577" si="8">IF(F514&lt;25,"18-24",IF(F514&lt;35,"25-34",IF(F514&lt;45,"35-44",IF(F514&lt;55,"45-54","55-65"))))</f>
        <v>18-24</v>
      </c>
    </row>
    <row r="515" spans="1:19" x14ac:dyDescent="0.3">
      <c r="A515">
        <v>514</v>
      </c>
      <c r="B515" t="s">
        <v>109</v>
      </c>
      <c r="C515" t="s">
        <v>142</v>
      </c>
      <c r="D515" t="s">
        <v>110</v>
      </c>
      <c r="E515" t="s">
        <v>51</v>
      </c>
      <c r="F515">
        <v>50</v>
      </c>
      <c r="G515" t="s">
        <v>194</v>
      </c>
      <c r="H515">
        <v>24</v>
      </c>
      <c r="I515" t="s">
        <v>65</v>
      </c>
      <c r="J515" t="s">
        <v>113</v>
      </c>
      <c r="K515" t="s">
        <v>149</v>
      </c>
      <c r="L515" t="s">
        <v>67</v>
      </c>
      <c r="M515">
        <v>245856</v>
      </c>
      <c r="N515" t="s">
        <v>96</v>
      </c>
      <c r="O515" t="s">
        <v>75</v>
      </c>
      <c r="P515" t="s">
        <v>89</v>
      </c>
      <c r="Q515" t="s">
        <v>155</v>
      </c>
      <c r="R515" t="s">
        <v>60</v>
      </c>
      <c r="S515" t="str">
        <f t="shared" si="8"/>
        <v>45-54</v>
      </c>
    </row>
    <row r="516" spans="1:19" x14ac:dyDescent="0.3">
      <c r="A516">
        <v>515</v>
      </c>
      <c r="B516" t="s">
        <v>214</v>
      </c>
      <c r="C516" t="s">
        <v>63</v>
      </c>
      <c r="D516" t="s">
        <v>221</v>
      </c>
      <c r="E516" t="s">
        <v>28</v>
      </c>
      <c r="F516">
        <v>25</v>
      </c>
      <c r="G516" t="s">
        <v>29</v>
      </c>
      <c r="H516">
        <v>17</v>
      </c>
      <c r="I516" t="s">
        <v>30</v>
      </c>
      <c r="J516" t="s">
        <v>31</v>
      </c>
      <c r="K516" t="s">
        <v>205</v>
      </c>
      <c r="L516" t="s">
        <v>46</v>
      </c>
      <c r="M516">
        <v>165736</v>
      </c>
      <c r="N516" t="s">
        <v>115</v>
      </c>
      <c r="O516" t="s">
        <v>57</v>
      </c>
      <c r="P516" t="s">
        <v>76</v>
      </c>
      <c r="Q516" t="s">
        <v>82</v>
      </c>
      <c r="R516" t="s">
        <v>83</v>
      </c>
      <c r="S516" t="str">
        <f t="shared" si="8"/>
        <v>25-34</v>
      </c>
    </row>
    <row r="517" spans="1:19" x14ac:dyDescent="0.3">
      <c r="A517">
        <v>516</v>
      </c>
      <c r="B517" t="s">
        <v>289</v>
      </c>
      <c r="C517" t="s">
        <v>106</v>
      </c>
      <c r="D517" t="s">
        <v>172</v>
      </c>
      <c r="E517" t="s">
        <v>51</v>
      </c>
      <c r="F517">
        <v>42</v>
      </c>
      <c r="G517" t="s">
        <v>64</v>
      </c>
      <c r="H517">
        <v>11</v>
      </c>
      <c r="I517" t="s">
        <v>65</v>
      </c>
      <c r="J517" t="s">
        <v>123</v>
      </c>
      <c r="K517" t="s">
        <v>245</v>
      </c>
      <c r="L517" t="s">
        <v>55</v>
      </c>
      <c r="M517">
        <v>212134</v>
      </c>
      <c r="N517" t="s">
        <v>96</v>
      </c>
      <c r="O517" t="s">
        <v>35</v>
      </c>
      <c r="P517" t="s">
        <v>230</v>
      </c>
      <c r="Q517" t="s">
        <v>251</v>
      </c>
      <c r="R517" t="s">
        <v>126</v>
      </c>
      <c r="S517" t="str">
        <f t="shared" si="8"/>
        <v>35-44</v>
      </c>
    </row>
    <row r="518" spans="1:19" x14ac:dyDescent="0.3">
      <c r="A518">
        <v>517</v>
      </c>
      <c r="B518" t="s">
        <v>246</v>
      </c>
      <c r="C518" t="s">
        <v>221</v>
      </c>
      <c r="D518" t="s">
        <v>183</v>
      </c>
      <c r="E518" t="s">
        <v>51</v>
      </c>
      <c r="F518">
        <v>61</v>
      </c>
      <c r="G518" t="s">
        <v>64</v>
      </c>
      <c r="H518">
        <v>27</v>
      </c>
      <c r="I518" t="s">
        <v>118</v>
      </c>
      <c r="J518" t="s">
        <v>164</v>
      </c>
      <c r="K518" t="s">
        <v>253</v>
      </c>
      <c r="L518" t="s">
        <v>206</v>
      </c>
      <c r="M518">
        <v>9411</v>
      </c>
      <c r="N518" t="s">
        <v>34</v>
      </c>
      <c r="O518" t="s">
        <v>57</v>
      </c>
      <c r="P518" t="s">
        <v>76</v>
      </c>
      <c r="Q518" t="s">
        <v>77</v>
      </c>
      <c r="R518" t="s">
        <v>103</v>
      </c>
      <c r="S518" t="str">
        <f t="shared" si="8"/>
        <v>55-65</v>
      </c>
    </row>
    <row r="519" spans="1:19" x14ac:dyDescent="0.3">
      <c r="A519">
        <v>518</v>
      </c>
      <c r="B519" t="s">
        <v>197</v>
      </c>
      <c r="C519" t="s">
        <v>50</v>
      </c>
      <c r="D519" t="s">
        <v>92</v>
      </c>
      <c r="E519" t="s">
        <v>28</v>
      </c>
      <c r="F519">
        <v>65</v>
      </c>
      <c r="G519" t="s">
        <v>139</v>
      </c>
      <c r="H519">
        <v>23</v>
      </c>
      <c r="I519" t="s">
        <v>199</v>
      </c>
      <c r="J519" t="s">
        <v>94</v>
      </c>
      <c r="K519" t="s">
        <v>268</v>
      </c>
      <c r="L519" t="s">
        <v>67</v>
      </c>
      <c r="M519">
        <v>130480</v>
      </c>
      <c r="N519" t="s">
        <v>47</v>
      </c>
      <c r="O519" t="s">
        <v>35</v>
      </c>
      <c r="P519" t="s">
        <v>169</v>
      </c>
      <c r="Q519" t="s">
        <v>192</v>
      </c>
      <c r="R519" t="s">
        <v>126</v>
      </c>
      <c r="S519" t="str">
        <f t="shared" si="8"/>
        <v>55-65</v>
      </c>
    </row>
    <row r="520" spans="1:19" x14ac:dyDescent="0.3">
      <c r="A520">
        <v>519</v>
      </c>
      <c r="B520" t="s">
        <v>216</v>
      </c>
      <c r="C520" t="s">
        <v>128</v>
      </c>
      <c r="D520" t="s">
        <v>221</v>
      </c>
      <c r="E520" t="s">
        <v>51</v>
      </c>
      <c r="F520">
        <v>59</v>
      </c>
      <c r="G520" t="s">
        <v>107</v>
      </c>
      <c r="H520">
        <v>16</v>
      </c>
      <c r="I520" t="s">
        <v>73</v>
      </c>
      <c r="J520" t="s">
        <v>53</v>
      </c>
      <c r="K520" t="s">
        <v>188</v>
      </c>
      <c r="L520" t="s">
        <v>46</v>
      </c>
      <c r="M520">
        <v>169160</v>
      </c>
      <c r="N520" t="s">
        <v>96</v>
      </c>
      <c r="O520" t="s">
        <v>57</v>
      </c>
      <c r="P520" t="s">
        <v>58</v>
      </c>
      <c r="Q520" t="s">
        <v>165</v>
      </c>
      <c r="R520" t="s">
        <v>126</v>
      </c>
      <c r="S520" t="str">
        <f t="shared" si="8"/>
        <v>55-65</v>
      </c>
    </row>
    <row r="521" spans="1:19" x14ac:dyDescent="0.3">
      <c r="A521">
        <v>520</v>
      </c>
      <c r="B521" t="s">
        <v>304</v>
      </c>
      <c r="C521" t="s">
        <v>111</v>
      </c>
      <c r="D521" t="s">
        <v>71</v>
      </c>
      <c r="E521" t="s">
        <v>51</v>
      </c>
      <c r="F521">
        <v>49</v>
      </c>
      <c r="G521" t="s">
        <v>64</v>
      </c>
      <c r="H521">
        <v>4</v>
      </c>
      <c r="I521" t="s">
        <v>65</v>
      </c>
      <c r="J521" t="s">
        <v>53</v>
      </c>
      <c r="K521" t="s">
        <v>141</v>
      </c>
      <c r="L521" t="s">
        <v>33</v>
      </c>
      <c r="M521">
        <v>15255</v>
      </c>
      <c r="N521" t="s">
        <v>34</v>
      </c>
      <c r="O521" t="s">
        <v>57</v>
      </c>
      <c r="P521" t="s">
        <v>68</v>
      </c>
      <c r="Q521" t="s">
        <v>173</v>
      </c>
      <c r="R521" t="s">
        <v>60</v>
      </c>
      <c r="S521" t="str">
        <f t="shared" si="8"/>
        <v>45-54</v>
      </c>
    </row>
    <row r="522" spans="1:19" x14ac:dyDescent="0.3">
      <c r="A522">
        <v>521</v>
      </c>
      <c r="B522" t="s">
        <v>70</v>
      </c>
      <c r="C522" t="s">
        <v>40</v>
      </c>
      <c r="D522" t="s">
        <v>189</v>
      </c>
      <c r="E522" t="s">
        <v>28</v>
      </c>
      <c r="F522">
        <v>22</v>
      </c>
      <c r="G522" t="s">
        <v>87</v>
      </c>
      <c r="H522">
        <v>5</v>
      </c>
      <c r="I522" t="s">
        <v>80</v>
      </c>
      <c r="J522" t="s">
        <v>53</v>
      </c>
      <c r="K522" t="s">
        <v>54</v>
      </c>
      <c r="L522" t="s">
        <v>67</v>
      </c>
      <c r="M522">
        <v>278492</v>
      </c>
      <c r="N522" t="s">
        <v>47</v>
      </c>
      <c r="O522" t="s">
        <v>75</v>
      </c>
      <c r="P522" t="s">
        <v>36</v>
      </c>
      <c r="Q522" t="s">
        <v>48</v>
      </c>
      <c r="R522" t="s">
        <v>103</v>
      </c>
      <c r="S522" t="str">
        <f t="shared" si="8"/>
        <v>18-24</v>
      </c>
    </row>
    <row r="523" spans="1:19" x14ac:dyDescent="0.3">
      <c r="A523">
        <v>522</v>
      </c>
      <c r="B523" t="s">
        <v>269</v>
      </c>
      <c r="C523" t="s">
        <v>154</v>
      </c>
      <c r="D523" t="s">
        <v>110</v>
      </c>
      <c r="E523" t="s">
        <v>51</v>
      </c>
      <c r="F523">
        <v>52</v>
      </c>
      <c r="G523" t="s">
        <v>87</v>
      </c>
      <c r="H523">
        <v>26</v>
      </c>
      <c r="I523" t="s">
        <v>140</v>
      </c>
      <c r="J523" t="s">
        <v>164</v>
      </c>
      <c r="K523" t="s">
        <v>209</v>
      </c>
      <c r="L523" t="s">
        <v>33</v>
      </c>
      <c r="M523">
        <v>346795</v>
      </c>
      <c r="N523" t="s">
        <v>96</v>
      </c>
      <c r="O523" t="s">
        <v>57</v>
      </c>
      <c r="P523" t="s">
        <v>97</v>
      </c>
      <c r="Q523" t="s">
        <v>98</v>
      </c>
      <c r="R523" t="s">
        <v>83</v>
      </c>
      <c r="S523" t="str">
        <f t="shared" si="8"/>
        <v>45-54</v>
      </c>
    </row>
    <row r="524" spans="1:19" x14ac:dyDescent="0.3">
      <c r="A524">
        <v>523</v>
      </c>
      <c r="B524" t="s">
        <v>241</v>
      </c>
      <c r="C524" t="s">
        <v>71</v>
      </c>
      <c r="D524" t="s">
        <v>172</v>
      </c>
      <c r="E524" t="s">
        <v>51</v>
      </c>
      <c r="F524">
        <v>37</v>
      </c>
      <c r="G524" t="s">
        <v>194</v>
      </c>
      <c r="H524">
        <v>6</v>
      </c>
      <c r="I524" t="s">
        <v>132</v>
      </c>
      <c r="J524" t="s">
        <v>94</v>
      </c>
      <c r="K524" t="s">
        <v>227</v>
      </c>
      <c r="L524" t="s">
        <v>55</v>
      </c>
      <c r="M524">
        <v>153585</v>
      </c>
      <c r="N524" t="s">
        <v>96</v>
      </c>
      <c r="O524" t="s">
        <v>57</v>
      </c>
      <c r="P524" t="s">
        <v>169</v>
      </c>
      <c r="Q524" t="s">
        <v>265</v>
      </c>
      <c r="R524" t="s">
        <v>60</v>
      </c>
      <c r="S524" t="str">
        <f t="shared" si="8"/>
        <v>35-44</v>
      </c>
    </row>
    <row r="525" spans="1:19" x14ac:dyDescent="0.3">
      <c r="A525">
        <v>524</v>
      </c>
      <c r="B525" t="s">
        <v>289</v>
      </c>
      <c r="C525" t="s">
        <v>189</v>
      </c>
      <c r="D525" t="s">
        <v>110</v>
      </c>
      <c r="E525" t="s">
        <v>51</v>
      </c>
      <c r="F525">
        <v>28</v>
      </c>
      <c r="G525" t="s">
        <v>150</v>
      </c>
      <c r="H525">
        <v>16</v>
      </c>
      <c r="I525" t="s">
        <v>112</v>
      </c>
      <c r="J525" t="s">
        <v>123</v>
      </c>
      <c r="K525" t="s">
        <v>124</v>
      </c>
      <c r="L525" t="s">
        <v>206</v>
      </c>
      <c r="M525">
        <v>140028</v>
      </c>
      <c r="N525" t="s">
        <v>56</v>
      </c>
      <c r="O525" t="s">
        <v>57</v>
      </c>
      <c r="P525" t="s">
        <v>36</v>
      </c>
      <c r="Q525" t="s">
        <v>37</v>
      </c>
      <c r="R525" t="s">
        <v>126</v>
      </c>
      <c r="S525" t="str">
        <f t="shared" si="8"/>
        <v>25-34</v>
      </c>
    </row>
    <row r="526" spans="1:19" x14ac:dyDescent="0.3">
      <c r="A526">
        <v>525</v>
      </c>
      <c r="B526" t="s">
        <v>246</v>
      </c>
      <c r="C526" t="s">
        <v>187</v>
      </c>
      <c r="D526" t="s">
        <v>149</v>
      </c>
      <c r="E526" t="s">
        <v>51</v>
      </c>
      <c r="F526">
        <v>41</v>
      </c>
      <c r="G526" t="s">
        <v>194</v>
      </c>
      <c r="H526">
        <v>19</v>
      </c>
      <c r="I526" t="s">
        <v>132</v>
      </c>
      <c r="J526" t="s">
        <v>113</v>
      </c>
      <c r="K526" t="s">
        <v>281</v>
      </c>
      <c r="L526" t="s">
        <v>55</v>
      </c>
      <c r="M526">
        <v>14280</v>
      </c>
      <c r="N526" t="s">
        <v>96</v>
      </c>
      <c r="O526" t="s">
        <v>35</v>
      </c>
      <c r="P526" t="s">
        <v>76</v>
      </c>
      <c r="Q526" t="s">
        <v>305</v>
      </c>
      <c r="R526" t="s">
        <v>103</v>
      </c>
      <c r="S526" t="str">
        <f t="shared" si="8"/>
        <v>35-44</v>
      </c>
    </row>
    <row r="527" spans="1:19" x14ac:dyDescent="0.3">
      <c r="A527">
        <v>526</v>
      </c>
      <c r="B527" t="s">
        <v>274</v>
      </c>
      <c r="C527" t="s">
        <v>136</v>
      </c>
      <c r="D527" t="s">
        <v>178</v>
      </c>
      <c r="E527" t="s">
        <v>51</v>
      </c>
      <c r="F527">
        <v>33</v>
      </c>
      <c r="G527" t="s">
        <v>194</v>
      </c>
      <c r="H527">
        <v>22</v>
      </c>
      <c r="I527" t="s">
        <v>65</v>
      </c>
      <c r="J527" t="s">
        <v>31</v>
      </c>
      <c r="K527" t="s">
        <v>312</v>
      </c>
      <c r="L527" t="s">
        <v>33</v>
      </c>
      <c r="M527">
        <v>34305</v>
      </c>
      <c r="N527" t="s">
        <v>47</v>
      </c>
      <c r="O527" t="s">
        <v>35</v>
      </c>
      <c r="P527" t="s">
        <v>230</v>
      </c>
      <c r="Q527" t="s">
        <v>250</v>
      </c>
      <c r="R527" t="s">
        <v>83</v>
      </c>
      <c r="S527" t="str">
        <f t="shared" si="8"/>
        <v>25-34</v>
      </c>
    </row>
    <row r="528" spans="1:19" x14ac:dyDescent="0.3">
      <c r="A528">
        <v>527</v>
      </c>
      <c r="B528" t="s">
        <v>25</v>
      </c>
      <c r="C528" t="s">
        <v>110</v>
      </c>
      <c r="D528" t="s">
        <v>187</v>
      </c>
      <c r="E528" t="s">
        <v>28</v>
      </c>
      <c r="F528">
        <v>54</v>
      </c>
      <c r="G528" t="s">
        <v>194</v>
      </c>
      <c r="H528">
        <v>15</v>
      </c>
      <c r="I528" t="s">
        <v>132</v>
      </c>
      <c r="J528" t="s">
        <v>44</v>
      </c>
      <c r="K528" t="s">
        <v>184</v>
      </c>
      <c r="L528" t="s">
        <v>206</v>
      </c>
      <c r="M528">
        <v>96984</v>
      </c>
      <c r="N528" t="s">
        <v>56</v>
      </c>
      <c r="O528" t="s">
        <v>35</v>
      </c>
      <c r="P528" t="s">
        <v>36</v>
      </c>
      <c r="Q528" t="s">
        <v>48</v>
      </c>
      <c r="R528" t="s">
        <v>83</v>
      </c>
      <c r="S528" t="str">
        <f t="shared" si="8"/>
        <v>45-54</v>
      </c>
    </row>
    <row r="529" spans="1:19" x14ac:dyDescent="0.3">
      <c r="A529">
        <v>528</v>
      </c>
      <c r="B529" t="s">
        <v>282</v>
      </c>
      <c r="C529" t="s">
        <v>63</v>
      </c>
      <c r="D529" t="s">
        <v>187</v>
      </c>
      <c r="E529" t="s">
        <v>51</v>
      </c>
      <c r="F529">
        <v>24</v>
      </c>
      <c r="G529" t="s">
        <v>150</v>
      </c>
      <c r="H529">
        <v>4</v>
      </c>
      <c r="I529" t="s">
        <v>112</v>
      </c>
      <c r="J529" t="s">
        <v>164</v>
      </c>
      <c r="K529" t="s">
        <v>253</v>
      </c>
      <c r="L529" t="s">
        <v>55</v>
      </c>
      <c r="M529">
        <v>176372</v>
      </c>
      <c r="N529" t="s">
        <v>115</v>
      </c>
      <c r="O529" t="s">
        <v>75</v>
      </c>
      <c r="P529" t="s">
        <v>68</v>
      </c>
      <c r="Q529" t="s">
        <v>147</v>
      </c>
      <c r="R529" t="s">
        <v>83</v>
      </c>
      <c r="S529" t="str">
        <f t="shared" si="8"/>
        <v>18-24</v>
      </c>
    </row>
    <row r="530" spans="1:19" x14ac:dyDescent="0.3">
      <c r="A530">
        <v>529</v>
      </c>
      <c r="B530" t="s">
        <v>135</v>
      </c>
      <c r="C530" t="s">
        <v>183</v>
      </c>
      <c r="D530" t="s">
        <v>117</v>
      </c>
      <c r="E530" t="s">
        <v>51</v>
      </c>
      <c r="F530">
        <v>52</v>
      </c>
      <c r="G530" t="s">
        <v>72</v>
      </c>
      <c r="H530">
        <v>28</v>
      </c>
      <c r="I530" t="s">
        <v>73</v>
      </c>
      <c r="J530" t="s">
        <v>164</v>
      </c>
      <c r="K530" t="s">
        <v>164</v>
      </c>
      <c r="L530" t="s">
        <v>55</v>
      </c>
      <c r="M530">
        <v>96479</v>
      </c>
      <c r="N530" t="s">
        <v>56</v>
      </c>
      <c r="O530" t="s">
        <v>57</v>
      </c>
      <c r="P530" t="s">
        <v>68</v>
      </c>
      <c r="Q530" t="s">
        <v>147</v>
      </c>
      <c r="R530" t="s">
        <v>38</v>
      </c>
      <c r="S530" t="str">
        <f t="shared" si="8"/>
        <v>45-54</v>
      </c>
    </row>
    <row r="531" spans="1:19" x14ac:dyDescent="0.3">
      <c r="A531">
        <v>530</v>
      </c>
      <c r="B531" t="s">
        <v>127</v>
      </c>
      <c r="C531" t="s">
        <v>273</v>
      </c>
      <c r="D531" t="s">
        <v>244</v>
      </c>
      <c r="E531" t="s">
        <v>28</v>
      </c>
      <c r="F531">
        <v>45</v>
      </c>
      <c r="G531" t="s">
        <v>87</v>
      </c>
      <c r="H531">
        <v>9</v>
      </c>
      <c r="I531" t="s">
        <v>80</v>
      </c>
      <c r="J531" t="s">
        <v>113</v>
      </c>
      <c r="K531" t="s">
        <v>323</v>
      </c>
      <c r="L531" t="s">
        <v>55</v>
      </c>
      <c r="M531">
        <v>279500</v>
      </c>
      <c r="N531" t="s">
        <v>56</v>
      </c>
      <c r="O531" t="s">
        <v>57</v>
      </c>
      <c r="P531" t="s">
        <v>68</v>
      </c>
      <c r="Q531" t="s">
        <v>147</v>
      </c>
      <c r="R531" t="s">
        <v>103</v>
      </c>
      <c r="S531" t="str">
        <f t="shared" si="8"/>
        <v>45-54</v>
      </c>
    </row>
    <row r="532" spans="1:19" x14ac:dyDescent="0.3">
      <c r="A532">
        <v>531</v>
      </c>
      <c r="B532" t="s">
        <v>329</v>
      </c>
      <c r="C532" t="s">
        <v>136</v>
      </c>
      <c r="D532" t="s">
        <v>92</v>
      </c>
      <c r="E532" t="s">
        <v>51</v>
      </c>
      <c r="F532">
        <v>60</v>
      </c>
      <c r="G532" t="s">
        <v>79</v>
      </c>
      <c r="H532">
        <v>20</v>
      </c>
      <c r="I532" t="s">
        <v>52</v>
      </c>
      <c r="J532" t="s">
        <v>94</v>
      </c>
      <c r="K532" t="s">
        <v>95</v>
      </c>
      <c r="L532" t="s">
        <v>46</v>
      </c>
      <c r="M532">
        <v>308909</v>
      </c>
      <c r="N532" t="s">
        <v>115</v>
      </c>
      <c r="O532" t="s">
        <v>75</v>
      </c>
      <c r="P532" t="s">
        <v>36</v>
      </c>
      <c r="Q532" t="s">
        <v>161</v>
      </c>
      <c r="R532" t="s">
        <v>103</v>
      </c>
      <c r="S532" t="str">
        <f t="shared" si="8"/>
        <v>55-65</v>
      </c>
    </row>
    <row r="533" spans="1:19" x14ac:dyDescent="0.3">
      <c r="A533">
        <v>532</v>
      </c>
      <c r="B533" t="s">
        <v>104</v>
      </c>
      <c r="C533" t="s">
        <v>27</v>
      </c>
      <c r="D533" t="s">
        <v>249</v>
      </c>
      <c r="E533" t="s">
        <v>28</v>
      </c>
      <c r="F533">
        <v>54</v>
      </c>
      <c r="G533" t="s">
        <v>42</v>
      </c>
      <c r="H533">
        <v>26</v>
      </c>
      <c r="I533" t="s">
        <v>112</v>
      </c>
      <c r="J533" t="s">
        <v>94</v>
      </c>
      <c r="K533" t="s">
        <v>271</v>
      </c>
      <c r="L533" t="s">
        <v>206</v>
      </c>
      <c r="M533">
        <v>74224</v>
      </c>
      <c r="N533" t="s">
        <v>115</v>
      </c>
      <c r="O533" t="s">
        <v>35</v>
      </c>
      <c r="P533" t="s">
        <v>97</v>
      </c>
      <c r="Q533" t="s">
        <v>152</v>
      </c>
      <c r="R533" t="s">
        <v>38</v>
      </c>
      <c r="S533" t="str">
        <f t="shared" si="8"/>
        <v>45-54</v>
      </c>
    </row>
    <row r="534" spans="1:19" x14ac:dyDescent="0.3">
      <c r="A534">
        <v>533</v>
      </c>
      <c r="B534" t="s">
        <v>135</v>
      </c>
      <c r="C534" t="s">
        <v>136</v>
      </c>
      <c r="D534" t="s">
        <v>187</v>
      </c>
      <c r="E534" t="s">
        <v>51</v>
      </c>
      <c r="F534">
        <v>44</v>
      </c>
      <c r="G534" t="s">
        <v>64</v>
      </c>
      <c r="H534">
        <v>21</v>
      </c>
      <c r="I534" t="s">
        <v>118</v>
      </c>
      <c r="J534" t="s">
        <v>31</v>
      </c>
      <c r="K534" t="s">
        <v>252</v>
      </c>
      <c r="L534" t="s">
        <v>55</v>
      </c>
      <c r="M534">
        <v>227885</v>
      </c>
      <c r="N534" t="s">
        <v>56</v>
      </c>
      <c r="O534" t="s">
        <v>35</v>
      </c>
      <c r="P534" t="s">
        <v>230</v>
      </c>
      <c r="Q534" t="s">
        <v>231</v>
      </c>
      <c r="R534" t="s">
        <v>103</v>
      </c>
      <c r="S534" t="str">
        <f t="shared" si="8"/>
        <v>35-44</v>
      </c>
    </row>
    <row r="535" spans="1:19" x14ac:dyDescent="0.3">
      <c r="A535">
        <v>534</v>
      </c>
      <c r="B535" t="s">
        <v>197</v>
      </c>
      <c r="C535" t="s">
        <v>50</v>
      </c>
      <c r="D535" t="s">
        <v>183</v>
      </c>
      <c r="E535" t="s">
        <v>28</v>
      </c>
      <c r="F535">
        <v>47</v>
      </c>
      <c r="G535" t="s">
        <v>194</v>
      </c>
      <c r="H535">
        <v>8</v>
      </c>
      <c r="I535" t="s">
        <v>132</v>
      </c>
      <c r="J535" t="s">
        <v>164</v>
      </c>
      <c r="K535" t="s">
        <v>284</v>
      </c>
      <c r="L535" t="s">
        <v>206</v>
      </c>
      <c r="M535">
        <v>346996</v>
      </c>
      <c r="N535" t="s">
        <v>34</v>
      </c>
      <c r="O535" t="s">
        <v>35</v>
      </c>
      <c r="P535" t="s">
        <v>89</v>
      </c>
      <c r="Q535" t="s">
        <v>119</v>
      </c>
      <c r="R535" t="s">
        <v>38</v>
      </c>
      <c r="S535" t="str">
        <f t="shared" si="8"/>
        <v>45-54</v>
      </c>
    </row>
    <row r="536" spans="1:19" x14ac:dyDescent="0.3">
      <c r="A536">
        <v>535</v>
      </c>
      <c r="B536" t="s">
        <v>171</v>
      </c>
      <c r="C536" t="s">
        <v>41</v>
      </c>
      <c r="D536" t="s">
        <v>154</v>
      </c>
      <c r="E536" t="s">
        <v>51</v>
      </c>
      <c r="F536">
        <v>59</v>
      </c>
      <c r="G536" t="s">
        <v>79</v>
      </c>
      <c r="H536">
        <v>22</v>
      </c>
      <c r="I536" t="s">
        <v>80</v>
      </c>
      <c r="J536" t="s">
        <v>94</v>
      </c>
      <c r="K536" t="s">
        <v>108</v>
      </c>
      <c r="L536" t="s">
        <v>33</v>
      </c>
      <c r="M536">
        <v>274871</v>
      </c>
      <c r="N536" t="s">
        <v>34</v>
      </c>
      <c r="O536" t="s">
        <v>57</v>
      </c>
      <c r="P536" t="s">
        <v>97</v>
      </c>
      <c r="Q536" t="s">
        <v>278</v>
      </c>
      <c r="R536" t="s">
        <v>126</v>
      </c>
      <c r="S536" t="str">
        <f t="shared" si="8"/>
        <v>55-65</v>
      </c>
    </row>
    <row r="537" spans="1:19" x14ac:dyDescent="0.3">
      <c r="A537">
        <v>536</v>
      </c>
      <c r="B537" t="s">
        <v>291</v>
      </c>
      <c r="C537" t="s">
        <v>136</v>
      </c>
      <c r="D537" t="s">
        <v>93</v>
      </c>
      <c r="E537" t="s">
        <v>51</v>
      </c>
      <c r="F537">
        <v>64</v>
      </c>
      <c r="G537" t="s">
        <v>72</v>
      </c>
      <c r="H537">
        <v>22</v>
      </c>
      <c r="I537" t="s">
        <v>73</v>
      </c>
      <c r="J537" t="s">
        <v>113</v>
      </c>
      <c r="K537" t="s">
        <v>310</v>
      </c>
      <c r="L537" t="s">
        <v>46</v>
      </c>
      <c r="M537">
        <v>43617</v>
      </c>
      <c r="N537" t="s">
        <v>34</v>
      </c>
      <c r="O537" t="s">
        <v>75</v>
      </c>
      <c r="P537" t="s">
        <v>169</v>
      </c>
      <c r="Q537" t="s">
        <v>207</v>
      </c>
      <c r="R537" t="s">
        <v>126</v>
      </c>
      <c r="S537" t="str">
        <f t="shared" si="8"/>
        <v>55-65</v>
      </c>
    </row>
    <row r="538" spans="1:19" x14ac:dyDescent="0.3">
      <c r="A538">
        <v>537</v>
      </c>
      <c r="B538" t="s">
        <v>229</v>
      </c>
      <c r="C538" t="s">
        <v>204</v>
      </c>
      <c r="D538" t="s">
        <v>143</v>
      </c>
      <c r="E538" t="s">
        <v>51</v>
      </c>
      <c r="F538">
        <v>39</v>
      </c>
      <c r="G538" t="s">
        <v>150</v>
      </c>
      <c r="H538">
        <v>4</v>
      </c>
      <c r="I538" t="s">
        <v>112</v>
      </c>
      <c r="J538" t="s">
        <v>164</v>
      </c>
      <c r="K538" t="s">
        <v>284</v>
      </c>
      <c r="L538" t="s">
        <v>67</v>
      </c>
      <c r="M538">
        <v>283015</v>
      </c>
      <c r="N538" t="s">
        <v>96</v>
      </c>
      <c r="O538" t="s">
        <v>35</v>
      </c>
      <c r="P538" t="s">
        <v>217</v>
      </c>
      <c r="Q538" t="s">
        <v>326</v>
      </c>
      <c r="R538" t="s">
        <v>38</v>
      </c>
      <c r="S538" t="str">
        <f t="shared" si="8"/>
        <v>35-44</v>
      </c>
    </row>
    <row r="539" spans="1:19" x14ac:dyDescent="0.3">
      <c r="A539">
        <v>538</v>
      </c>
      <c r="B539" t="s">
        <v>319</v>
      </c>
      <c r="C539" t="s">
        <v>157</v>
      </c>
      <c r="D539" t="s">
        <v>27</v>
      </c>
      <c r="E539" t="s">
        <v>28</v>
      </c>
      <c r="F539">
        <v>49</v>
      </c>
      <c r="G539" t="s">
        <v>198</v>
      </c>
      <c r="H539">
        <v>14</v>
      </c>
      <c r="I539" t="s">
        <v>199</v>
      </c>
      <c r="J539" t="s">
        <v>53</v>
      </c>
      <c r="K539" t="s">
        <v>53</v>
      </c>
      <c r="L539" t="s">
        <v>33</v>
      </c>
      <c r="M539">
        <v>246368</v>
      </c>
      <c r="N539" t="s">
        <v>47</v>
      </c>
      <c r="O539" t="s">
        <v>75</v>
      </c>
      <c r="P539" t="s">
        <v>36</v>
      </c>
      <c r="Q539" t="s">
        <v>234</v>
      </c>
      <c r="R539" t="s">
        <v>103</v>
      </c>
      <c r="S539" t="str">
        <f t="shared" si="8"/>
        <v>45-54</v>
      </c>
    </row>
    <row r="540" spans="1:19" x14ac:dyDescent="0.3">
      <c r="A540">
        <v>539</v>
      </c>
      <c r="B540" t="s">
        <v>288</v>
      </c>
      <c r="C540" t="s">
        <v>27</v>
      </c>
      <c r="D540" t="s">
        <v>50</v>
      </c>
      <c r="E540" t="s">
        <v>51</v>
      </c>
      <c r="F540">
        <v>37</v>
      </c>
      <c r="G540" t="s">
        <v>87</v>
      </c>
      <c r="H540">
        <v>16</v>
      </c>
      <c r="I540" t="s">
        <v>80</v>
      </c>
      <c r="J540" t="s">
        <v>44</v>
      </c>
      <c r="K540" t="s">
        <v>294</v>
      </c>
      <c r="L540" t="s">
        <v>33</v>
      </c>
      <c r="M540">
        <v>17009</v>
      </c>
      <c r="N540" t="s">
        <v>115</v>
      </c>
      <c r="O540" t="s">
        <v>57</v>
      </c>
      <c r="P540" t="s">
        <v>97</v>
      </c>
      <c r="Q540" t="s">
        <v>152</v>
      </c>
      <c r="R540" t="s">
        <v>126</v>
      </c>
      <c r="S540" t="str">
        <f t="shared" si="8"/>
        <v>35-44</v>
      </c>
    </row>
    <row r="541" spans="1:19" x14ac:dyDescent="0.3">
      <c r="A541">
        <v>540</v>
      </c>
      <c r="B541" t="s">
        <v>285</v>
      </c>
      <c r="C541" t="s">
        <v>249</v>
      </c>
      <c r="D541" t="s">
        <v>146</v>
      </c>
      <c r="E541" t="s">
        <v>51</v>
      </c>
      <c r="F541">
        <v>25</v>
      </c>
      <c r="G541" t="s">
        <v>87</v>
      </c>
      <c r="H541">
        <v>29</v>
      </c>
      <c r="I541" t="s">
        <v>140</v>
      </c>
      <c r="J541" t="s">
        <v>164</v>
      </c>
      <c r="K541" t="s">
        <v>270</v>
      </c>
      <c r="L541" t="s">
        <v>206</v>
      </c>
      <c r="M541">
        <v>300888</v>
      </c>
      <c r="N541" t="s">
        <v>34</v>
      </c>
      <c r="O541" t="s">
        <v>57</v>
      </c>
      <c r="P541" t="s">
        <v>36</v>
      </c>
      <c r="Q541" t="s">
        <v>161</v>
      </c>
      <c r="R541" t="s">
        <v>83</v>
      </c>
      <c r="S541" t="str">
        <f t="shared" si="8"/>
        <v>25-34</v>
      </c>
    </row>
    <row r="542" spans="1:19" x14ac:dyDescent="0.3">
      <c r="A542">
        <v>541</v>
      </c>
      <c r="B542" t="s">
        <v>318</v>
      </c>
      <c r="C542" t="s">
        <v>142</v>
      </c>
      <c r="D542" t="s">
        <v>143</v>
      </c>
      <c r="E542" t="s">
        <v>51</v>
      </c>
      <c r="F542">
        <v>46</v>
      </c>
      <c r="G542" t="s">
        <v>79</v>
      </c>
      <c r="H542">
        <v>7</v>
      </c>
      <c r="I542" t="s">
        <v>52</v>
      </c>
      <c r="J542" t="s">
        <v>164</v>
      </c>
      <c r="K542" t="s">
        <v>179</v>
      </c>
      <c r="L542" t="s">
        <v>55</v>
      </c>
      <c r="M542">
        <v>277315</v>
      </c>
      <c r="N542" t="s">
        <v>34</v>
      </c>
      <c r="O542" t="s">
        <v>57</v>
      </c>
      <c r="P542" t="s">
        <v>76</v>
      </c>
      <c r="Q542" t="s">
        <v>200</v>
      </c>
      <c r="R542" t="s">
        <v>103</v>
      </c>
      <c r="S542" t="str">
        <f t="shared" si="8"/>
        <v>45-54</v>
      </c>
    </row>
    <row r="543" spans="1:19" x14ac:dyDescent="0.3">
      <c r="A543">
        <v>542</v>
      </c>
      <c r="B543" t="s">
        <v>49</v>
      </c>
      <c r="C543" t="s">
        <v>86</v>
      </c>
      <c r="D543" t="s">
        <v>221</v>
      </c>
      <c r="E543" t="s">
        <v>51</v>
      </c>
      <c r="F543">
        <v>34</v>
      </c>
      <c r="G543" t="s">
        <v>64</v>
      </c>
      <c r="H543">
        <v>27</v>
      </c>
      <c r="I543" t="s">
        <v>118</v>
      </c>
      <c r="J543" t="s">
        <v>31</v>
      </c>
      <c r="K543" t="s">
        <v>32</v>
      </c>
      <c r="L543" t="s">
        <v>46</v>
      </c>
      <c r="M543">
        <v>126390</v>
      </c>
      <c r="N543" t="s">
        <v>56</v>
      </c>
      <c r="O543" t="s">
        <v>75</v>
      </c>
      <c r="P543" t="s">
        <v>36</v>
      </c>
      <c r="Q543" t="s">
        <v>37</v>
      </c>
      <c r="R543" t="s">
        <v>83</v>
      </c>
      <c r="S543" t="str">
        <f t="shared" si="8"/>
        <v>25-34</v>
      </c>
    </row>
    <row r="544" spans="1:19" x14ac:dyDescent="0.3">
      <c r="A544">
        <v>543</v>
      </c>
      <c r="B544" t="s">
        <v>263</v>
      </c>
      <c r="C544" t="s">
        <v>142</v>
      </c>
      <c r="D544" t="s">
        <v>149</v>
      </c>
      <c r="E544" t="s">
        <v>51</v>
      </c>
      <c r="F544">
        <v>46</v>
      </c>
      <c r="G544" t="s">
        <v>72</v>
      </c>
      <c r="H544">
        <v>21</v>
      </c>
      <c r="I544" t="s">
        <v>122</v>
      </c>
      <c r="J544" t="s">
        <v>31</v>
      </c>
      <c r="K544" t="s">
        <v>299</v>
      </c>
      <c r="L544" t="s">
        <v>55</v>
      </c>
      <c r="M544">
        <v>143228</v>
      </c>
      <c r="N544" t="s">
        <v>47</v>
      </c>
      <c r="O544" t="s">
        <v>75</v>
      </c>
      <c r="P544" t="s">
        <v>169</v>
      </c>
      <c r="Q544" t="s">
        <v>192</v>
      </c>
      <c r="R544" t="s">
        <v>60</v>
      </c>
      <c r="S544" t="str">
        <f t="shared" si="8"/>
        <v>45-54</v>
      </c>
    </row>
    <row r="545" spans="1:19" x14ac:dyDescent="0.3">
      <c r="A545">
        <v>544</v>
      </c>
      <c r="B545" t="s">
        <v>78</v>
      </c>
      <c r="C545" t="s">
        <v>143</v>
      </c>
      <c r="D545" t="s">
        <v>224</v>
      </c>
      <c r="E545" t="s">
        <v>28</v>
      </c>
      <c r="F545">
        <v>26</v>
      </c>
      <c r="G545" t="s">
        <v>107</v>
      </c>
      <c r="H545">
        <v>25</v>
      </c>
      <c r="I545" t="s">
        <v>132</v>
      </c>
      <c r="J545" t="s">
        <v>164</v>
      </c>
      <c r="K545" t="s">
        <v>270</v>
      </c>
      <c r="L545" t="s">
        <v>55</v>
      </c>
      <c r="M545">
        <v>278462</v>
      </c>
      <c r="N545" t="s">
        <v>96</v>
      </c>
      <c r="O545" t="s">
        <v>57</v>
      </c>
      <c r="P545" t="s">
        <v>217</v>
      </c>
      <c r="Q545" t="s">
        <v>326</v>
      </c>
      <c r="R545" t="s">
        <v>38</v>
      </c>
      <c r="S545" t="str">
        <f t="shared" si="8"/>
        <v>25-34</v>
      </c>
    </row>
    <row r="546" spans="1:19" x14ac:dyDescent="0.3">
      <c r="A546">
        <v>545</v>
      </c>
      <c r="B546" t="s">
        <v>223</v>
      </c>
      <c r="C546" t="s">
        <v>189</v>
      </c>
      <c r="D546" t="s">
        <v>244</v>
      </c>
      <c r="E546" t="s">
        <v>51</v>
      </c>
      <c r="F546">
        <v>23</v>
      </c>
      <c r="G546" t="s">
        <v>87</v>
      </c>
      <c r="H546">
        <v>26</v>
      </c>
      <c r="I546" t="s">
        <v>140</v>
      </c>
      <c r="J546" t="s">
        <v>53</v>
      </c>
      <c r="K546" t="s">
        <v>280</v>
      </c>
      <c r="L546" t="s">
        <v>206</v>
      </c>
      <c r="M546">
        <v>67752</v>
      </c>
      <c r="N546" t="s">
        <v>56</v>
      </c>
      <c r="O546" t="s">
        <v>35</v>
      </c>
      <c r="P546" t="s">
        <v>58</v>
      </c>
      <c r="Q546" t="s">
        <v>165</v>
      </c>
      <c r="R546" t="s">
        <v>60</v>
      </c>
      <c r="S546" t="str">
        <f t="shared" si="8"/>
        <v>18-24</v>
      </c>
    </row>
    <row r="547" spans="1:19" x14ac:dyDescent="0.3">
      <c r="A547">
        <v>546</v>
      </c>
      <c r="B547" t="s">
        <v>159</v>
      </c>
      <c r="C547" t="s">
        <v>215</v>
      </c>
      <c r="D547" t="s">
        <v>211</v>
      </c>
      <c r="E547" t="s">
        <v>28</v>
      </c>
      <c r="F547">
        <v>30</v>
      </c>
      <c r="G547" t="s">
        <v>72</v>
      </c>
      <c r="H547">
        <v>8</v>
      </c>
      <c r="I547" t="s">
        <v>122</v>
      </c>
      <c r="J547" t="s">
        <v>113</v>
      </c>
      <c r="K547" t="s">
        <v>313</v>
      </c>
      <c r="L547" t="s">
        <v>46</v>
      </c>
      <c r="M547">
        <v>22175</v>
      </c>
      <c r="N547" t="s">
        <v>96</v>
      </c>
      <c r="O547" t="s">
        <v>75</v>
      </c>
      <c r="P547" t="s">
        <v>230</v>
      </c>
      <c r="Q547" t="s">
        <v>298</v>
      </c>
      <c r="R547" t="s">
        <v>83</v>
      </c>
      <c r="S547" t="str">
        <f t="shared" si="8"/>
        <v>25-34</v>
      </c>
    </row>
    <row r="548" spans="1:19" x14ac:dyDescent="0.3">
      <c r="A548">
        <v>547</v>
      </c>
      <c r="B548" t="s">
        <v>116</v>
      </c>
      <c r="C548" t="s">
        <v>93</v>
      </c>
      <c r="D548" t="s">
        <v>66</v>
      </c>
      <c r="E548" t="s">
        <v>28</v>
      </c>
      <c r="F548">
        <v>47</v>
      </c>
      <c r="G548" t="s">
        <v>150</v>
      </c>
      <c r="H548">
        <v>4</v>
      </c>
      <c r="I548" t="s">
        <v>112</v>
      </c>
      <c r="J548" t="s">
        <v>113</v>
      </c>
      <c r="K548" t="s">
        <v>239</v>
      </c>
      <c r="L548" t="s">
        <v>67</v>
      </c>
      <c r="M548">
        <v>82447</v>
      </c>
      <c r="N548" t="s">
        <v>115</v>
      </c>
      <c r="O548" t="s">
        <v>57</v>
      </c>
      <c r="P548" t="s">
        <v>89</v>
      </c>
      <c r="Q548" t="s">
        <v>248</v>
      </c>
      <c r="R548" t="s">
        <v>83</v>
      </c>
      <c r="S548" t="str">
        <f t="shared" si="8"/>
        <v>45-54</v>
      </c>
    </row>
    <row r="549" spans="1:19" x14ac:dyDescent="0.3">
      <c r="A549">
        <v>548</v>
      </c>
      <c r="B549" t="s">
        <v>99</v>
      </c>
      <c r="C549" t="s">
        <v>131</v>
      </c>
      <c r="D549" t="s">
        <v>221</v>
      </c>
      <c r="E549" t="s">
        <v>51</v>
      </c>
      <c r="F549">
        <v>36</v>
      </c>
      <c r="G549" t="s">
        <v>29</v>
      </c>
      <c r="H549">
        <v>20</v>
      </c>
      <c r="I549" t="s">
        <v>52</v>
      </c>
      <c r="J549" t="s">
        <v>31</v>
      </c>
      <c r="K549" t="s">
        <v>252</v>
      </c>
      <c r="L549" t="s">
        <v>67</v>
      </c>
      <c r="M549">
        <v>67228</v>
      </c>
      <c r="N549" t="s">
        <v>34</v>
      </c>
      <c r="O549" t="s">
        <v>57</v>
      </c>
      <c r="P549" t="s">
        <v>68</v>
      </c>
      <c r="Q549" t="s">
        <v>134</v>
      </c>
      <c r="R549" t="s">
        <v>83</v>
      </c>
      <c r="S549" t="str">
        <f t="shared" si="8"/>
        <v>35-44</v>
      </c>
    </row>
    <row r="550" spans="1:19" x14ac:dyDescent="0.3">
      <c r="A550">
        <v>549</v>
      </c>
      <c r="B550" t="s">
        <v>300</v>
      </c>
      <c r="C550" t="s">
        <v>138</v>
      </c>
      <c r="D550" t="s">
        <v>143</v>
      </c>
      <c r="E550" t="s">
        <v>28</v>
      </c>
      <c r="F550">
        <v>47</v>
      </c>
      <c r="G550" t="s">
        <v>87</v>
      </c>
      <c r="H550">
        <v>19</v>
      </c>
      <c r="I550" t="s">
        <v>80</v>
      </c>
      <c r="J550" t="s">
        <v>44</v>
      </c>
      <c r="K550" t="s">
        <v>45</v>
      </c>
      <c r="L550" t="s">
        <v>55</v>
      </c>
      <c r="M550">
        <v>166764</v>
      </c>
      <c r="N550" t="s">
        <v>96</v>
      </c>
      <c r="O550" t="s">
        <v>75</v>
      </c>
      <c r="P550" t="s">
        <v>101</v>
      </c>
      <c r="Q550" t="s">
        <v>129</v>
      </c>
      <c r="R550" t="s">
        <v>38</v>
      </c>
      <c r="S550" t="str">
        <f t="shared" si="8"/>
        <v>45-54</v>
      </c>
    </row>
    <row r="551" spans="1:19" x14ac:dyDescent="0.3">
      <c r="A551">
        <v>550</v>
      </c>
      <c r="B551" t="s">
        <v>135</v>
      </c>
      <c r="C551" t="s">
        <v>26</v>
      </c>
      <c r="D551" t="s">
        <v>40</v>
      </c>
      <c r="E551" t="s">
        <v>51</v>
      </c>
      <c r="F551">
        <v>21</v>
      </c>
      <c r="G551" t="s">
        <v>79</v>
      </c>
      <c r="H551">
        <v>3</v>
      </c>
      <c r="I551" t="s">
        <v>52</v>
      </c>
      <c r="J551" t="s">
        <v>113</v>
      </c>
      <c r="K551" t="s">
        <v>325</v>
      </c>
      <c r="L551" t="s">
        <v>55</v>
      </c>
      <c r="M551">
        <v>167472</v>
      </c>
      <c r="N551" t="s">
        <v>56</v>
      </c>
      <c r="O551" t="s">
        <v>75</v>
      </c>
      <c r="P551" t="s">
        <v>76</v>
      </c>
      <c r="Q551" t="s">
        <v>77</v>
      </c>
      <c r="R551" t="s">
        <v>126</v>
      </c>
      <c r="S551" t="str">
        <f t="shared" si="8"/>
        <v>18-24</v>
      </c>
    </row>
    <row r="552" spans="1:19" x14ac:dyDescent="0.3">
      <c r="A552">
        <v>551</v>
      </c>
      <c r="B552" t="s">
        <v>317</v>
      </c>
      <c r="C552" t="s">
        <v>154</v>
      </c>
      <c r="D552" t="s">
        <v>163</v>
      </c>
      <c r="E552" t="s">
        <v>28</v>
      </c>
      <c r="F552">
        <v>60</v>
      </c>
      <c r="G552" t="s">
        <v>150</v>
      </c>
      <c r="H552">
        <v>13</v>
      </c>
      <c r="I552" t="s">
        <v>112</v>
      </c>
      <c r="J552" t="s">
        <v>53</v>
      </c>
      <c r="K552" t="s">
        <v>213</v>
      </c>
      <c r="L552" t="s">
        <v>46</v>
      </c>
      <c r="M552">
        <v>338980</v>
      </c>
      <c r="N552" t="s">
        <v>34</v>
      </c>
      <c r="O552" t="s">
        <v>75</v>
      </c>
      <c r="P552" t="s">
        <v>76</v>
      </c>
      <c r="Q552" t="s">
        <v>77</v>
      </c>
      <c r="R552" t="s">
        <v>38</v>
      </c>
      <c r="S552" t="str">
        <f t="shared" si="8"/>
        <v>55-65</v>
      </c>
    </row>
    <row r="553" spans="1:19" x14ac:dyDescent="0.3">
      <c r="A553">
        <v>552</v>
      </c>
      <c r="B553" t="s">
        <v>109</v>
      </c>
      <c r="C553" t="s">
        <v>163</v>
      </c>
      <c r="D553" t="s">
        <v>117</v>
      </c>
      <c r="E553" t="s">
        <v>51</v>
      </c>
      <c r="F553">
        <v>23</v>
      </c>
      <c r="G553" t="s">
        <v>87</v>
      </c>
      <c r="H553">
        <v>29</v>
      </c>
      <c r="I553" t="s">
        <v>140</v>
      </c>
      <c r="J553" t="s">
        <v>123</v>
      </c>
      <c r="K553" t="s">
        <v>261</v>
      </c>
      <c r="L553" t="s">
        <v>55</v>
      </c>
      <c r="M553">
        <v>154361</v>
      </c>
      <c r="N553" t="s">
        <v>34</v>
      </c>
      <c r="O553" t="s">
        <v>57</v>
      </c>
      <c r="P553" t="s">
        <v>76</v>
      </c>
      <c r="Q553" t="s">
        <v>305</v>
      </c>
      <c r="R553" t="s">
        <v>60</v>
      </c>
      <c r="S553" t="str">
        <f t="shared" si="8"/>
        <v>18-24</v>
      </c>
    </row>
    <row r="554" spans="1:19" x14ac:dyDescent="0.3">
      <c r="A554">
        <v>553</v>
      </c>
      <c r="B554" t="s">
        <v>258</v>
      </c>
      <c r="C554" t="s">
        <v>27</v>
      </c>
      <c r="D554" t="s">
        <v>26</v>
      </c>
      <c r="E554" t="s">
        <v>28</v>
      </c>
      <c r="F554">
        <v>34</v>
      </c>
      <c r="G554" t="s">
        <v>87</v>
      </c>
      <c r="H554">
        <v>30</v>
      </c>
      <c r="I554" t="s">
        <v>140</v>
      </c>
      <c r="J554" t="s">
        <v>123</v>
      </c>
      <c r="K554" t="s">
        <v>327</v>
      </c>
      <c r="L554" t="s">
        <v>206</v>
      </c>
      <c r="M554">
        <v>183356</v>
      </c>
      <c r="N554" t="s">
        <v>115</v>
      </c>
      <c r="O554" t="s">
        <v>57</v>
      </c>
      <c r="P554" t="s">
        <v>217</v>
      </c>
      <c r="Q554" t="s">
        <v>233</v>
      </c>
      <c r="R554" t="s">
        <v>103</v>
      </c>
      <c r="S554" t="str">
        <f t="shared" si="8"/>
        <v>25-34</v>
      </c>
    </row>
    <row r="555" spans="1:19" x14ac:dyDescent="0.3">
      <c r="A555">
        <v>554</v>
      </c>
      <c r="B555" t="s">
        <v>159</v>
      </c>
      <c r="C555" t="s">
        <v>121</v>
      </c>
      <c r="D555" t="s">
        <v>249</v>
      </c>
      <c r="E555" t="s">
        <v>28</v>
      </c>
      <c r="F555">
        <v>21</v>
      </c>
      <c r="G555" t="s">
        <v>198</v>
      </c>
      <c r="H555">
        <v>2</v>
      </c>
      <c r="I555" t="s">
        <v>199</v>
      </c>
      <c r="J555" t="s">
        <v>31</v>
      </c>
      <c r="K555" t="s">
        <v>331</v>
      </c>
      <c r="L555" t="s">
        <v>55</v>
      </c>
      <c r="M555">
        <v>17372</v>
      </c>
      <c r="N555" t="s">
        <v>115</v>
      </c>
      <c r="O555" t="s">
        <v>75</v>
      </c>
      <c r="P555" t="s">
        <v>68</v>
      </c>
      <c r="Q555" t="s">
        <v>173</v>
      </c>
      <c r="R555" t="s">
        <v>103</v>
      </c>
      <c r="S555" t="str">
        <f t="shared" si="8"/>
        <v>18-24</v>
      </c>
    </row>
    <row r="556" spans="1:19" x14ac:dyDescent="0.3">
      <c r="A556">
        <v>555</v>
      </c>
      <c r="B556" t="s">
        <v>216</v>
      </c>
      <c r="C556" t="s">
        <v>117</v>
      </c>
      <c r="D556" t="s">
        <v>172</v>
      </c>
      <c r="E556" t="s">
        <v>51</v>
      </c>
      <c r="F556">
        <v>49</v>
      </c>
      <c r="G556" t="s">
        <v>198</v>
      </c>
      <c r="H556">
        <v>12</v>
      </c>
      <c r="I556" t="s">
        <v>199</v>
      </c>
      <c r="J556" t="s">
        <v>44</v>
      </c>
      <c r="K556" t="s">
        <v>81</v>
      </c>
      <c r="L556" t="s">
        <v>67</v>
      </c>
      <c r="M556">
        <v>43809</v>
      </c>
      <c r="N556" t="s">
        <v>34</v>
      </c>
      <c r="O556" t="s">
        <v>57</v>
      </c>
      <c r="P556" t="s">
        <v>89</v>
      </c>
      <c r="Q556" t="s">
        <v>225</v>
      </c>
      <c r="R556" t="s">
        <v>60</v>
      </c>
      <c r="S556" t="str">
        <f t="shared" si="8"/>
        <v>45-54</v>
      </c>
    </row>
    <row r="557" spans="1:19" x14ac:dyDescent="0.3">
      <c r="A557">
        <v>556</v>
      </c>
      <c r="B557" t="s">
        <v>256</v>
      </c>
      <c r="C557" t="s">
        <v>175</v>
      </c>
      <c r="D557" t="s">
        <v>66</v>
      </c>
      <c r="E557" t="s">
        <v>28</v>
      </c>
      <c r="F557">
        <v>54</v>
      </c>
      <c r="G557" t="s">
        <v>107</v>
      </c>
      <c r="H557">
        <v>17</v>
      </c>
      <c r="I557" t="s">
        <v>73</v>
      </c>
      <c r="J557" t="s">
        <v>164</v>
      </c>
      <c r="K557" t="s">
        <v>284</v>
      </c>
      <c r="L557" t="s">
        <v>33</v>
      </c>
      <c r="M557">
        <v>206324</v>
      </c>
      <c r="N557" t="s">
        <v>56</v>
      </c>
      <c r="O557" t="s">
        <v>75</v>
      </c>
      <c r="P557" t="s">
        <v>217</v>
      </c>
      <c r="Q557" t="s">
        <v>220</v>
      </c>
      <c r="R557" t="s">
        <v>38</v>
      </c>
      <c r="S557" t="str">
        <f t="shared" si="8"/>
        <v>45-54</v>
      </c>
    </row>
    <row r="558" spans="1:19" x14ac:dyDescent="0.3">
      <c r="A558">
        <v>557</v>
      </c>
      <c r="B558" t="s">
        <v>291</v>
      </c>
      <c r="C558" t="s">
        <v>143</v>
      </c>
      <c r="D558" t="s">
        <v>111</v>
      </c>
      <c r="E558" t="s">
        <v>51</v>
      </c>
      <c r="F558">
        <v>19</v>
      </c>
      <c r="G558" t="s">
        <v>198</v>
      </c>
      <c r="H558">
        <v>22</v>
      </c>
      <c r="I558" t="s">
        <v>199</v>
      </c>
      <c r="J558" t="s">
        <v>113</v>
      </c>
      <c r="K558" t="s">
        <v>114</v>
      </c>
      <c r="L558" t="s">
        <v>46</v>
      </c>
      <c r="M558">
        <v>140989</v>
      </c>
      <c r="N558" t="s">
        <v>34</v>
      </c>
      <c r="O558" t="s">
        <v>57</v>
      </c>
      <c r="P558" t="s">
        <v>230</v>
      </c>
      <c r="Q558" t="s">
        <v>259</v>
      </c>
      <c r="R558" t="s">
        <v>38</v>
      </c>
      <c r="S558" t="str">
        <f t="shared" si="8"/>
        <v>18-24</v>
      </c>
    </row>
    <row r="559" spans="1:19" x14ac:dyDescent="0.3">
      <c r="A559">
        <v>558</v>
      </c>
      <c r="B559" t="s">
        <v>116</v>
      </c>
      <c r="C559" t="s">
        <v>71</v>
      </c>
      <c r="D559" t="s">
        <v>86</v>
      </c>
      <c r="E559" t="s">
        <v>28</v>
      </c>
      <c r="F559">
        <v>56</v>
      </c>
      <c r="G559" t="s">
        <v>72</v>
      </c>
      <c r="H559">
        <v>16</v>
      </c>
      <c r="I559" t="s">
        <v>122</v>
      </c>
      <c r="J559" t="s">
        <v>123</v>
      </c>
      <c r="K559" t="s">
        <v>327</v>
      </c>
      <c r="L559" t="s">
        <v>46</v>
      </c>
      <c r="M559">
        <v>339571</v>
      </c>
      <c r="N559" t="s">
        <v>96</v>
      </c>
      <c r="O559" t="s">
        <v>57</v>
      </c>
      <c r="P559" t="s">
        <v>97</v>
      </c>
      <c r="Q559" t="s">
        <v>243</v>
      </c>
      <c r="R559" t="s">
        <v>126</v>
      </c>
      <c r="S559" t="str">
        <f t="shared" si="8"/>
        <v>55-65</v>
      </c>
    </row>
    <row r="560" spans="1:19" x14ac:dyDescent="0.3">
      <c r="A560">
        <v>559</v>
      </c>
      <c r="B560" t="s">
        <v>84</v>
      </c>
      <c r="C560" t="s">
        <v>149</v>
      </c>
      <c r="D560" t="s">
        <v>215</v>
      </c>
      <c r="E560" t="s">
        <v>28</v>
      </c>
      <c r="F560">
        <v>65</v>
      </c>
      <c r="G560" t="s">
        <v>79</v>
      </c>
      <c r="H560">
        <v>11</v>
      </c>
      <c r="I560" t="s">
        <v>52</v>
      </c>
      <c r="J560" t="s">
        <v>164</v>
      </c>
      <c r="K560" t="s">
        <v>164</v>
      </c>
      <c r="L560" t="s">
        <v>206</v>
      </c>
      <c r="M560">
        <v>333406</v>
      </c>
      <c r="N560" t="s">
        <v>34</v>
      </c>
      <c r="O560" t="s">
        <v>57</v>
      </c>
      <c r="P560" t="s">
        <v>101</v>
      </c>
      <c r="Q560" t="s">
        <v>102</v>
      </c>
      <c r="R560" t="s">
        <v>83</v>
      </c>
      <c r="S560" t="str">
        <f t="shared" si="8"/>
        <v>55-65</v>
      </c>
    </row>
    <row r="561" spans="1:19" x14ac:dyDescent="0.3">
      <c r="A561">
        <v>560</v>
      </c>
      <c r="B561" t="s">
        <v>174</v>
      </c>
      <c r="C561" t="s">
        <v>111</v>
      </c>
      <c r="D561" t="s">
        <v>92</v>
      </c>
      <c r="E561" t="s">
        <v>28</v>
      </c>
      <c r="F561">
        <v>28</v>
      </c>
      <c r="G561" t="s">
        <v>64</v>
      </c>
      <c r="H561">
        <v>1</v>
      </c>
      <c r="I561" t="s">
        <v>65</v>
      </c>
      <c r="J561" t="s">
        <v>164</v>
      </c>
      <c r="K561" t="s">
        <v>179</v>
      </c>
      <c r="L561" t="s">
        <v>67</v>
      </c>
      <c r="M561">
        <v>103303</v>
      </c>
      <c r="N561" t="s">
        <v>34</v>
      </c>
      <c r="O561" t="s">
        <v>57</v>
      </c>
      <c r="P561" t="s">
        <v>58</v>
      </c>
      <c r="Q561" t="s">
        <v>222</v>
      </c>
      <c r="R561" t="s">
        <v>103</v>
      </c>
      <c r="S561" t="str">
        <f t="shared" si="8"/>
        <v>25-34</v>
      </c>
    </row>
    <row r="562" spans="1:19" x14ac:dyDescent="0.3">
      <c r="A562">
        <v>561</v>
      </c>
      <c r="B562" t="s">
        <v>285</v>
      </c>
      <c r="C562" t="s">
        <v>189</v>
      </c>
      <c r="D562" t="s">
        <v>40</v>
      </c>
      <c r="E562" t="s">
        <v>51</v>
      </c>
      <c r="F562">
        <v>41</v>
      </c>
      <c r="G562" t="s">
        <v>144</v>
      </c>
      <c r="H562">
        <v>12</v>
      </c>
      <c r="I562" t="s">
        <v>118</v>
      </c>
      <c r="J562" t="s">
        <v>44</v>
      </c>
      <c r="K562" t="s">
        <v>255</v>
      </c>
      <c r="L562" t="s">
        <v>206</v>
      </c>
      <c r="M562">
        <v>173920</v>
      </c>
      <c r="N562" t="s">
        <v>96</v>
      </c>
      <c r="O562" t="s">
        <v>57</v>
      </c>
      <c r="P562" t="s">
        <v>36</v>
      </c>
      <c r="Q562" t="s">
        <v>161</v>
      </c>
      <c r="R562" t="s">
        <v>126</v>
      </c>
      <c r="S562" t="str">
        <f t="shared" si="8"/>
        <v>35-44</v>
      </c>
    </row>
    <row r="563" spans="1:19" x14ac:dyDescent="0.3">
      <c r="A563">
        <v>562</v>
      </c>
      <c r="B563" t="s">
        <v>318</v>
      </c>
      <c r="C563" t="s">
        <v>142</v>
      </c>
      <c r="D563" t="s">
        <v>221</v>
      </c>
      <c r="E563" t="s">
        <v>51</v>
      </c>
      <c r="F563">
        <v>58</v>
      </c>
      <c r="G563" t="s">
        <v>87</v>
      </c>
      <c r="H563">
        <v>20</v>
      </c>
      <c r="I563" t="s">
        <v>80</v>
      </c>
      <c r="J563" t="s">
        <v>31</v>
      </c>
      <c r="K563" t="s">
        <v>205</v>
      </c>
      <c r="L563" t="s">
        <v>55</v>
      </c>
      <c r="M563">
        <v>18951</v>
      </c>
      <c r="N563" t="s">
        <v>96</v>
      </c>
      <c r="O563" t="s">
        <v>75</v>
      </c>
      <c r="P563" t="s">
        <v>58</v>
      </c>
      <c r="Q563" t="s">
        <v>59</v>
      </c>
      <c r="R563" t="s">
        <v>38</v>
      </c>
      <c r="S563" t="str">
        <f t="shared" si="8"/>
        <v>55-65</v>
      </c>
    </row>
    <row r="564" spans="1:19" x14ac:dyDescent="0.3">
      <c r="A564">
        <v>563</v>
      </c>
      <c r="B564" t="s">
        <v>258</v>
      </c>
      <c r="C564" t="s">
        <v>224</v>
      </c>
      <c r="D564" t="s">
        <v>249</v>
      </c>
      <c r="E564" t="s">
        <v>28</v>
      </c>
      <c r="F564">
        <v>47</v>
      </c>
      <c r="G564" t="s">
        <v>72</v>
      </c>
      <c r="H564">
        <v>17</v>
      </c>
      <c r="I564" t="s">
        <v>122</v>
      </c>
      <c r="J564" t="s">
        <v>113</v>
      </c>
      <c r="K564" t="s">
        <v>290</v>
      </c>
      <c r="L564" t="s">
        <v>206</v>
      </c>
      <c r="M564">
        <v>317987</v>
      </c>
      <c r="N564" t="s">
        <v>47</v>
      </c>
      <c r="O564" t="s">
        <v>35</v>
      </c>
      <c r="P564" t="s">
        <v>58</v>
      </c>
      <c r="Q564" t="s">
        <v>59</v>
      </c>
      <c r="R564" t="s">
        <v>38</v>
      </c>
      <c r="S564" t="str">
        <f t="shared" si="8"/>
        <v>45-54</v>
      </c>
    </row>
    <row r="565" spans="1:19" x14ac:dyDescent="0.3">
      <c r="A565">
        <v>564</v>
      </c>
      <c r="B565" t="s">
        <v>288</v>
      </c>
      <c r="C565" t="s">
        <v>224</v>
      </c>
      <c r="D565" t="s">
        <v>221</v>
      </c>
      <c r="E565" t="s">
        <v>51</v>
      </c>
      <c r="F565">
        <v>20</v>
      </c>
      <c r="G565" t="s">
        <v>79</v>
      </c>
      <c r="H565">
        <v>19</v>
      </c>
      <c r="I565" t="s">
        <v>52</v>
      </c>
      <c r="J565" t="s">
        <v>113</v>
      </c>
      <c r="K565" t="s">
        <v>315</v>
      </c>
      <c r="L565" t="s">
        <v>206</v>
      </c>
      <c r="M565">
        <v>181175</v>
      </c>
      <c r="N565" t="s">
        <v>34</v>
      </c>
      <c r="O565" t="s">
        <v>57</v>
      </c>
      <c r="P565" t="s">
        <v>36</v>
      </c>
      <c r="Q565" t="s">
        <v>37</v>
      </c>
      <c r="R565" t="s">
        <v>126</v>
      </c>
      <c r="S565" t="str">
        <f t="shared" si="8"/>
        <v>18-24</v>
      </c>
    </row>
    <row r="566" spans="1:19" x14ac:dyDescent="0.3">
      <c r="A566">
        <v>565</v>
      </c>
      <c r="B566" t="s">
        <v>274</v>
      </c>
      <c r="C566" t="s">
        <v>154</v>
      </c>
      <c r="D566" t="s">
        <v>244</v>
      </c>
      <c r="E566" t="s">
        <v>51</v>
      </c>
      <c r="F566">
        <v>25</v>
      </c>
      <c r="G566" t="s">
        <v>64</v>
      </c>
      <c r="H566">
        <v>25</v>
      </c>
      <c r="I566" t="s">
        <v>118</v>
      </c>
      <c r="J566" t="s">
        <v>94</v>
      </c>
      <c r="K566" t="s">
        <v>100</v>
      </c>
      <c r="L566" t="s">
        <v>206</v>
      </c>
      <c r="M566">
        <v>276231</v>
      </c>
      <c r="N566" t="s">
        <v>34</v>
      </c>
      <c r="O566" t="s">
        <v>35</v>
      </c>
      <c r="P566" t="s">
        <v>89</v>
      </c>
      <c r="Q566" t="s">
        <v>90</v>
      </c>
      <c r="R566" t="s">
        <v>103</v>
      </c>
      <c r="S566" t="str">
        <f t="shared" si="8"/>
        <v>25-34</v>
      </c>
    </row>
    <row r="567" spans="1:19" x14ac:dyDescent="0.3">
      <c r="A567">
        <v>566</v>
      </c>
      <c r="B567" t="s">
        <v>203</v>
      </c>
      <c r="C567" t="s">
        <v>244</v>
      </c>
      <c r="D567" t="s">
        <v>106</v>
      </c>
      <c r="E567" t="s">
        <v>51</v>
      </c>
      <c r="F567">
        <v>57</v>
      </c>
      <c r="G567" t="s">
        <v>198</v>
      </c>
      <c r="H567">
        <v>25</v>
      </c>
      <c r="I567" t="s">
        <v>43</v>
      </c>
      <c r="J567" t="s">
        <v>44</v>
      </c>
      <c r="K567" t="s">
        <v>88</v>
      </c>
      <c r="L567" t="s">
        <v>67</v>
      </c>
      <c r="M567">
        <v>338518</v>
      </c>
      <c r="N567" t="s">
        <v>115</v>
      </c>
      <c r="O567" t="s">
        <v>35</v>
      </c>
      <c r="P567" t="s">
        <v>230</v>
      </c>
      <c r="Q567" t="s">
        <v>231</v>
      </c>
      <c r="R567" t="s">
        <v>60</v>
      </c>
      <c r="S567" t="str">
        <f t="shared" si="8"/>
        <v>55-65</v>
      </c>
    </row>
    <row r="568" spans="1:19" x14ac:dyDescent="0.3">
      <c r="A568">
        <v>567</v>
      </c>
      <c r="B568" t="s">
        <v>266</v>
      </c>
      <c r="C568" t="s">
        <v>221</v>
      </c>
      <c r="D568" t="s">
        <v>110</v>
      </c>
      <c r="E568" t="s">
        <v>51</v>
      </c>
      <c r="F568">
        <v>18</v>
      </c>
      <c r="G568" t="s">
        <v>194</v>
      </c>
      <c r="H568">
        <v>1</v>
      </c>
      <c r="I568" t="s">
        <v>132</v>
      </c>
      <c r="J568" t="s">
        <v>123</v>
      </c>
      <c r="K568" t="s">
        <v>245</v>
      </c>
      <c r="L568" t="s">
        <v>206</v>
      </c>
      <c r="M568">
        <v>163756</v>
      </c>
      <c r="N568" t="s">
        <v>56</v>
      </c>
      <c r="O568" t="s">
        <v>75</v>
      </c>
      <c r="P568" t="s">
        <v>169</v>
      </c>
      <c r="Q568" t="s">
        <v>265</v>
      </c>
      <c r="R568" t="s">
        <v>103</v>
      </c>
      <c r="S568" t="str">
        <f t="shared" si="8"/>
        <v>18-24</v>
      </c>
    </row>
    <row r="569" spans="1:19" x14ac:dyDescent="0.3">
      <c r="A569">
        <v>568</v>
      </c>
      <c r="B569" t="s">
        <v>186</v>
      </c>
      <c r="C569" t="s">
        <v>211</v>
      </c>
      <c r="D569" t="s">
        <v>93</v>
      </c>
      <c r="E569" t="s">
        <v>51</v>
      </c>
      <c r="F569">
        <v>43</v>
      </c>
      <c r="G569" t="s">
        <v>107</v>
      </c>
      <c r="H569">
        <v>22</v>
      </c>
      <c r="I569" t="s">
        <v>132</v>
      </c>
      <c r="J569" t="s">
        <v>44</v>
      </c>
      <c r="K569" t="s">
        <v>45</v>
      </c>
      <c r="L569" t="s">
        <v>33</v>
      </c>
      <c r="M569">
        <v>48156</v>
      </c>
      <c r="N569" t="s">
        <v>115</v>
      </c>
      <c r="O569" t="s">
        <v>35</v>
      </c>
      <c r="P569" t="s">
        <v>230</v>
      </c>
      <c r="Q569" t="s">
        <v>259</v>
      </c>
      <c r="R569" t="s">
        <v>60</v>
      </c>
      <c r="S569" t="str">
        <f t="shared" si="8"/>
        <v>35-44</v>
      </c>
    </row>
    <row r="570" spans="1:19" x14ac:dyDescent="0.3">
      <c r="A570">
        <v>569</v>
      </c>
      <c r="B570" t="s">
        <v>25</v>
      </c>
      <c r="C570" t="s">
        <v>157</v>
      </c>
      <c r="D570" t="s">
        <v>236</v>
      </c>
      <c r="E570" t="s">
        <v>28</v>
      </c>
      <c r="F570">
        <v>45</v>
      </c>
      <c r="G570" t="s">
        <v>72</v>
      </c>
      <c r="H570">
        <v>5</v>
      </c>
      <c r="I570" t="s">
        <v>122</v>
      </c>
      <c r="J570" t="s">
        <v>44</v>
      </c>
      <c r="K570" t="s">
        <v>219</v>
      </c>
      <c r="L570" t="s">
        <v>206</v>
      </c>
      <c r="M570">
        <v>34702</v>
      </c>
      <c r="N570" t="s">
        <v>115</v>
      </c>
      <c r="O570" t="s">
        <v>57</v>
      </c>
      <c r="P570" t="s">
        <v>36</v>
      </c>
      <c r="Q570" t="s">
        <v>161</v>
      </c>
      <c r="R570" t="s">
        <v>103</v>
      </c>
      <c r="S570" t="str">
        <f t="shared" si="8"/>
        <v>45-54</v>
      </c>
    </row>
    <row r="571" spans="1:19" x14ac:dyDescent="0.3">
      <c r="A571">
        <v>570</v>
      </c>
      <c r="B571" t="s">
        <v>197</v>
      </c>
      <c r="C571" t="s">
        <v>66</v>
      </c>
      <c r="D571" t="s">
        <v>50</v>
      </c>
      <c r="E571" t="s">
        <v>28</v>
      </c>
      <c r="F571">
        <v>48</v>
      </c>
      <c r="G571" t="s">
        <v>107</v>
      </c>
      <c r="H571">
        <v>23</v>
      </c>
      <c r="I571" t="s">
        <v>132</v>
      </c>
      <c r="J571" t="s">
        <v>123</v>
      </c>
      <c r="K571" t="s">
        <v>145</v>
      </c>
      <c r="L571" t="s">
        <v>67</v>
      </c>
      <c r="M571">
        <v>206903</v>
      </c>
      <c r="N571" t="s">
        <v>47</v>
      </c>
      <c r="O571" t="s">
        <v>75</v>
      </c>
      <c r="P571" t="s">
        <v>97</v>
      </c>
      <c r="Q571" t="s">
        <v>278</v>
      </c>
      <c r="R571" t="s">
        <v>103</v>
      </c>
      <c r="S571" t="str">
        <f t="shared" si="8"/>
        <v>45-54</v>
      </c>
    </row>
    <row r="572" spans="1:19" x14ac:dyDescent="0.3">
      <c r="A572">
        <v>571</v>
      </c>
      <c r="B572" t="s">
        <v>287</v>
      </c>
      <c r="C572" t="s">
        <v>105</v>
      </c>
      <c r="D572" t="s">
        <v>273</v>
      </c>
      <c r="E572" t="s">
        <v>28</v>
      </c>
      <c r="F572">
        <v>44</v>
      </c>
      <c r="G572" t="s">
        <v>72</v>
      </c>
      <c r="H572">
        <v>28</v>
      </c>
      <c r="I572" t="s">
        <v>73</v>
      </c>
      <c r="J572" t="s">
        <v>44</v>
      </c>
      <c r="K572" t="s">
        <v>184</v>
      </c>
      <c r="L572" t="s">
        <v>46</v>
      </c>
      <c r="M572">
        <v>210565</v>
      </c>
      <c r="N572" t="s">
        <v>47</v>
      </c>
      <c r="O572" t="s">
        <v>35</v>
      </c>
      <c r="P572" t="s">
        <v>89</v>
      </c>
      <c r="Q572" t="s">
        <v>119</v>
      </c>
      <c r="R572" t="s">
        <v>103</v>
      </c>
      <c r="S572" t="str">
        <f t="shared" si="8"/>
        <v>35-44</v>
      </c>
    </row>
    <row r="573" spans="1:19" x14ac:dyDescent="0.3">
      <c r="A573">
        <v>572</v>
      </c>
      <c r="B573" t="s">
        <v>229</v>
      </c>
      <c r="C573" t="s">
        <v>163</v>
      </c>
      <c r="D573" t="s">
        <v>244</v>
      </c>
      <c r="E573" t="s">
        <v>51</v>
      </c>
      <c r="F573">
        <v>32</v>
      </c>
      <c r="G573" t="s">
        <v>107</v>
      </c>
      <c r="H573">
        <v>20</v>
      </c>
      <c r="I573" t="s">
        <v>73</v>
      </c>
      <c r="J573" t="s">
        <v>44</v>
      </c>
      <c r="K573" t="s">
        <v>88</v>
      </c>
      <c r="L573" t="s">
        <v>46</v>
      </c>
      <c r="M573">
        <v>11562</v>
      </c>
      <c r="N573" t="s">
        <v>47</v>
      </c>
      <c r="O573" t="s">
        <v>75</v>
      </c>
      <c r="P573" t="s">
        <v>97</v>
      </c>
      <c r="Q573" t="s">
        <v>152</v>
      </c>
      <c r="R573" t="s">
        <v>60</v>
      </c>
      <c r="S573" t="str">
        <f t="shared" si="8"/>
        <v>25-34</v>
      </c>
    </row>
    <row r="574" spans="1:19" x14ac:dyDescent="0.3">
      <c r="A574">
        <v>573</v>
      </c>
      <c r="B574" t="s">
        <v>247</v>
      </c>
      <c r="C574" t="s">
        <v>236</v>
      </c>
      <c r="D574" t="s">
        <v>62</v>
      </c>
      <c r="E574" t="s">
        <v>51</v>
      </c>
      <c r="F574">
        <v>46</v>
      </c>
      <c r="G574" t="s">
        <v>198</v>
      </c>
      <c r="H574">
        <v>20</v>
      </c>
      <c r="I574" t="s">
        <v>199</v>
      </c>
      <c r="J574" t="s">
        <v>44</v>
      </c>
      <c r="K574" t="s">
        <v>294</v>
      </c>
      <c r="L574" t="s">
        <v>67</v>
      </c>
      <c r="M574">
        <v>60660</v>
      </c>
      <c r="N574" t="s">
        <v>96</v>
      </c>
      <c r="O574" t="s">
        <v>57</v>
      </c>
      <c r="P574" t="s">
        <v>58</v>
      </c>
      <c r="Q574" t="s">
        <v>59</v>
      </c>
      <c r="R574" t="s">
        <v>103</v>
      </c>
      <c r="S574" t="str">
        <f t="shared" si="8"/>
        <v>45-54</v>
      </c>
    </row>
    <row r="575" spans="1:19" x14ac:dyDescent="0.3">
      <c r="A575">
        <v>574</v>
      </c>
      <c r="B575" t="s">
        <v>39</v>
      </c>
      <c r="C575" t="s">
        <v>128</v>
      </c>
      <c r="D575" t="s">
        <v>244</v>
      </c>
      <c r="E575" t="s">
        <v>28</v>
      </c>
      <c r="F575">
        <v>47</v>
      </c>
      <c r="G575" t="s">
        <v>72</v>
      </c>
      <c r="H575">
        <v>11</v>
      </c>
      <c r="I575" t="s">
        <v>122</v>
      </c>
      <c r="J575" t="s">
        <v>94</v>
      </c>
      <c r="K575" t="s">
        <v>227</v>
      </c>
      <c r="L575" t="s">
        <v>206</v>
      </c>
      <c r="M575">
        <v>254433</v>
      </c>
      <c r="N575" t="s">
        <v>96</v>
      </c>
      <c r="O575" t="s">
        <v>75</v>
      </c>
      <c r="P575" t="s">
        <v>169</v>
      </c>
      <c r="Q575" t="s">
        <v>240</v>
      </c>
      <c r="R575" t="s">
        <v>83</v>
      </c>
      <c r="S575" t="str">
        <f t="shared" si="8"/>
        <v>45-54</v>
      </c>
    </row>
    <row r="576" spans="1:19" x14ac:dyDescent="0.3">
      <c r="A576">
        <v>575</v>
      </c>
      <c r="B576" t="s">
        <v>109</v>
      </c>
      <c r="C576" t="s">
        <v>211</v>
      </c>
      <c r="D576" t="s">
        <v>157</v>
      </c>
      <c r="E576" t="s">
        <v>51</v>
      </c>
      <c r="F576">
        <v>60</v>
      </c>
      <c r="G576" t="s">
        <v>79</v>
      </c>
      <c r="H576">
        <v>23</v>
      </c>
      <c r="I576" t="s">
        <v>80</v>
      </c>
      <c r="J576" t="s">
        <v>44</v>
      </c>
      <c r="K576" t="s">
        <v>255</v>
      </c>
      <c r="L576" t="s">
        <v>67</v>
      </c>
      <c r="M576">
        <v>64785</v>
      </c>
      <c r="N576" t="s">
        <v>56</v>
      </c>
      <c r="O576" t="s">
        <v>57</v>
      </c>
      <c r="P576" t="s">
        <v>89</v>
      </c>
      <c r="Q576" t="s">
        <v>90</v>
      </c>
      <c r="R576" t="s">
        <v>60</v>
      </c>
      <c r="S576" t="str">
        <f t="shared" si="8"/>
        <v>55-65</v>
      </c>
    </row>
    <row r="577" spans="1:19" x14ac:dyDescent="0.3">
      <c r="A577">
        <v>576</v>
      </c>
      <c r="B577" t="s">
        <v>229</v>
      </c>
      <c r="C577" t="s">
        <v>160</v>
      </c>
      <c r="D577" t="s">
        <v>143</v>
      </c>
      <c r="E577" t="s">
        <v>51</v>
      </c>
      <c r="F577">
        <v>40</v>
      </c>
      <c r="G577" t="s">
        <v>29</v>
      </c>
      <c r="H577">
        <v>18</v>
      </c>
      <c r="I577" t="s">
        <v>30</v>
      </c>
      <c r="J577" t="s">
        <v>113</v>
      </c>
      <c r="K577" t="s">
        <v>113</v>
      </c>
      <c r="L577" t="s">
        <v>67</v>
      </c>
      <c r="M577">
        <v>238540</v>
      </c>
      <c r="N577" t="s">
        <v>56</v>
      </c>
      <c r="O577" t="s">
        <v>35</v>
      </c>
      <c r="P577" t="s">
        <v>230</v>
      </c>
      <c r="Q577" t="s">
        <v>231</v>
      </c>
      <c r="R577" t="s">
        <v>60</v>
      </c>
      <c r="S577" t="str">
        <f t="shared" si="8"/>
        <v>35-44</v>
      </c>
    </row>
    <row r="578" spans="1:19" x14ac:dyDescent="0.3">
      <c r="A578">
        <v>577</v>
      </c>
      <c r="B578" t="s">
        <v>135</v>
      </c>
      <c r="C578" t="s">
        <v>62</v>
      </c>
      <c r="D578" t="s">
        <v>211</v>
      </c>
      <c r="E578" t="s">
        <v>51</v>
      </c>
      <c r="F578">
        <v>49</v>
      </c>
      <c r="G578" t="s">
        <v>29</v>
      </c>
      <c r="H578">
        <v>4</v>
      </c>
      <c r="I578" t="s">
        <v>30</v>
      </c>
      <c r="J578" t="s">
        <v>94</v>
      </c>
      <c r="K578" t="s">
        <v>210</v>
      </c>
      <c r="L578" t="s">
        <v>33</v>
      </c>
      <c r="M578">
        <v>275786</v>
      </c>
      <c r="N578" t="s">
        <v>56</v>
      </c>
      <c r="O578" t="s">
        <v>57</v>
      </c>
      <c r="P578" t="s">
        <v>230</v>
      </c>
      <c r="Q578" t="s">
        <v>231</v>
      </c>
      <c r="R578" t="s">
        <v>38</v>
      </c>
      <c r="S578" t="str">
        <f t="shared" ref="S578:S601" si="9">IF(F578&lt;25,"18-24",IF(F578&lt;35,"25-34",IF(F578&lt;45,"35-44",IF(F578&lt;55,"45-54","55-65"))))</f>
        <v>45-54</v>
      </c>
    </row>
    <row r="579" spans="1:19" x14ac:dyDescent="0.3">
      <c r="A579">
        <v>578</v>
      </c>
      <c r="B579" t="s">
        <v>277</v>
      </c>
      <c r="C579" t="s">
        <v>138</v>
      </c>
      <c r="D579" t="s">
        <v>71</v>
      </c>
      <c r="E579" t="s">
        <v>28</v>
      </c>
      <c r="F579">
        <v>57</v>
      </c>
      <c r="G579" t="s">
        <v>64</v>
      </c>
      <c r="H579">
        <v>4</v>
      </c>
      <c r="I579" t="s">
        <v>65</v>
      </c>
      <c r="J579" t="s">
        <v>164</v>
      </c>
      <c r="K579" t="s">
        <v>209</v>
      </c>
      <c r="L579" t="s">
        <v>33</v>
      </c>
      <c r="M579">
        <v>19479</v>
      </c>
      <c r="N579" t="s">
        <v>115</v>
      </c>
      <c r="O579" t="s">
        <v>75</v>
      </c>
      <c r="P579" t="s">
        <v>101</v>
      </c>
      <c r="Q579" t="s">
        <v>102</v>
      </c>
      <c r="R579" t="s">
        <v>60</v>
      </c>
      <c r="S579" t="str">
        <f t="shared" si="9"/>
        <v>55-65</v>
      </c>
    </row>
    <row r="580" spans="1:19" x14ac:dyDescent="0.3">
      <c r="A580">
        <v>579</v>
      </c>
      <c r="B580" t="s">
        <v>322</v>
      </c>
      <c r="C580" t="s">
        <v>66</v>
      </c>
      <c r="D580" t="s">
        <v>106</v>
      </c>
      <c r="E580" t="s">
        <v>28</v>
      </c>
      <c r="F580">
        <v>49</v>
      </c>
      <c r="G580" t="s">
        <v>79</v>
      </c>
      <c r="H580">
        <v>23</v>
      </c>
      <c r="I580" t="s">
        <v>80</v>
      </c>
      <c r="J580" t="s">
        <v>123</v>
      </c>
      <c r="K580" t="s">
        <v>124</v>
      </c>
      <c r="L580" t="s">
        <v>55</v>
      </c>
      <c r="M580">
        <v>228247</v>
      </c>
      <c r="N580" t="s">
        <v>115</v>
      </c>
      <c r="O580" t="s">
        <v>35</v>
      </c>
      <c r="P580" t="s">
        <v>101</v>
      </c>
      <c r="Q580" t="s">
        <v>125</v>
      </c>
      <c r="R580" t="s">
        <v>38</v>
      </c>
      <c r="S580" t="str">
        <f t="shared" si="9"/>
        <v>45-54</v>
      </c>
    </row>
    <row r="581" spans="1:19" x14ac:dyDescent="0.3">
      <c r="A581">
        <v>580</v>
      </c>
      <c r="B581" t="s">
        <v>247</v>
      </c>
      <c r="C581" t="s">
        <v>111</v>
      </c>
      <c r="D581" t="s">
        <v>111</v>
      </c>
      <c r="E581" t="s">
        <v>51</v>
      </c>
      <c r="F581">
        <v>39</v>
      </c>
      <c r="G581" t="s">
        <v>194</v>
      </c>
      <c r="H581">
        <v>8</v>
      </c>
      <c r="I581" t="s">
        <v>132</v>
      </c>
      <c r="J581" t="s">
        <v>164</v>
      </c>
      <c r="K581" t="s">
        <v>253</v>
      </c>
      <c r="L581" t="s">
        <v>55</v>
      </c>
      <c r="M581">
        <v>64085</v>
      </c>
      <c r="N581" t="s">
        <v>47</v>
      </c>
      <c r="O581" t="s">
        <v>75</v>
      </c>
      <c r="P581" t="s">
        <v>230</v>
      </c>
      <c r="Q581" t="s">
        <v>250</v>
      </c>
      <c r="R581" t="s">
        <v>103</v>
      </c>
      <c r="S581" t="str">
        <f t="shared" si="9"/>
        <v>35-44</v>
      </c>
    </row>
    <row r="582" spans="1:19" x14ac:dyDescent="0.3">
      <c r="A582">
        <v>581</v>
      </c>
      <c r="B582" t="s">
        <v>288</v>
      </c>
      <c r="C582" t="s">
        <v>50</v>
      </c>
      <c r="D582" t="s">
        <v>142</v>
      </c>
      <c r="E582" t="s">
        <v>51</v>
      </c>
      <c r="F582">
        <v>26</v>
      </c>
      <c r="G582" t="s">
        <v>42</v>
      </c>
      <c r="H582">
        <v>14</v>
      </c>
      <c r="I582" t="s">
        <v>43</v>
      </c>
      <c r="J582" t="s">
        <v>164</v>
      </c>
      <c r="K582" t="s">
        <v>179</v>
      </c>
      <c r="L582" t="s">
        <v>206</v>
      </c>
      <c r="M582">
        <v>321717</v>
      </c>
      <c r="N582" t="s">
        <v>56</v>
      </c>
      <c r="O582" t="s">
        <v>75</v>
      </c>
      <c r="P582" t="s">
        <v>58</v>
      </c>
      <c r="Q582" t="s">
        <v>222</v>
      </c>
      <c r="R582" t="s">
        <v>83</v>
      </c>
      <c r="S582" t="str">
        <f t="shared" si="9"/>
        <v>25-34</v>
      </c>
    </row>
    <row r="583" spans="1:19" x14ac:dyDescent="0.3">
      <c r="A583">
        <v>582</v>
      </c>
      <c r="B583" t="s">
        <v>166</v>
      </c>
      <c r="C583" t="s">
        <v>50</v>
      </c>
      <c r="D583" t="s">
        <v>111</v>
      </c>
      <c r="E583" t="s">
        <v>28</v>
      </c>
      <c r="F583">
        <v>22</v>
      </c>
      <c r="G583" t="s">
        <v>194</v>
      </c>
      <c r="H583">
        <v>23</v>
      </c>
      <c r="I583" t="s">
        <v>65</v>
      </c>
      <c r="J583" t="s">
        <v>164</v>
      </c>
      <c r="K583" t="s">
        <v>209</v>
      </c>
      <c r="L583" t="s">
        <v>67</v>
      </c>
      <c r="M583">
        <v>113608</v>
      </c>
      <c r="N583" t="s">
        <v>96</v>
      </c>
      <c r="O583" t="s">
        <v>35</v>
      </c>
      <c r="P583" t="s">
        <v>101</v>
      </c>
      <c r="Q583" t="s">
        <v>77</v>
      </c>
      <c r="R583" t="s">
        <v>103</v>
      </c>
      <c r="S583" t="str">
        <f t="shared" si="9"/>
        <v>18-24</v>
      </c>
    </row>
    <row r="584" spans="1:19" x14ac:dyDescent="0.3">
      <c r="A584">
        <v>583</v>
      </c>
      <c r="B584" t="s">
        <v>238</v>
      </c>
      <c r="C584" t="s">
        <v>85</v>
      </c>
      <c r="D584" t="s">
        <v>149</v>
      </c>
      <c r="E584" t="s">
        <v>28</v>
      </c>
      <c r="F584">
        <v>51</v>
      </c>
      <c r="G584" t="s">
        <v>72</v>
      </c>
      <c r="H584">
        <v>23</v>
      </c>
      <c r="I584" t="s">
        <v>73</v>
      </c>
      <c r="J584" t="s">
        <v>164</v>
      </c>
      <c r="K584" t="s">
        <v>270</v>
      </c>
      <c r="L584" t="s">
        <v>46</v>
      </c>
      <c r="M584">
        <v>143691</v>
      </c>
      <c r="N584" t="s">
        <v>47</v>
      </c>
      <c r="O584" t="s">
        <v>75</v>
      </c>
      <c r="P584" t="s">
        <v>230</v>
      </c>
      <c r="Q584" t="s">
        <v>251</v>
      </c>
      <c r="R584" t="s">
        <v>83</v>
      </c>
      <c r="S584" t="str">
        <f t="shared" si="9"/>
        <v>45-54</v>
      </c>
    </row>
    <row r="585" spans="1:19" x14ac:dyDescent="0.3">
      <c r="A585">
        <v>584</v>
      </c>
      <c r="B585" t="s">
        <v>324</v>
      </c>
      <c r="C585" t="s">
        <v>27</v>
      </c>
      <c r="D585" t="s">
        <v>224</v>
      </c>
      <c r="E585" t="s">
        <v>51</v>
      </c>
      <c r="F585">
        <v>43</v>
      </c>
      <c r="G585" t="s">
        <v>150</v>
      </c>
      <c r="H585">
        <v>30</v>
      </c>
      <c r="I585" t="s">
        <v>122</v>
      </c>
      <c r="J585" t="s">
        <v>31</v>
      </c>
      <c r="K585" t="s">
        <v>32</v>
      </c>
      <c r="L585" t="s">
        <v>46</v>
      </c>
      <c r="M585">
        <v>311215</v>
      </c>
      <c r="N585" t="s">
        <v>56</v>
      </c>
      <c r="O585" t="s">
        <v>75</v>
      </c>
      <c r="P585" t="s">
        <v>89</v>
      </c>
      <c r="Q585" t="s">
        <v>90</v>
      </c>
      <c r="R585" t="s">
        <v>103</v>
      </c>
      <c r="S585" t="str">
        <f t="shared" si="9"/>
        <v>35-44</v>
      </c>
    </row>
    <row r="586" spans="1:19" x14ac:dyDescent="0.3">
      <c r="A586">
        <v>585</v>
      </c>
      <c r="B586" t="s">
        <v>196</v>
      </c>
      <c r="C586" t="s">
        <v>111</v>
      </c>
      <c r="D586" t="s">
        <v>183</v>
      </c>
      <c r="E586" t="s">
        <v>51</v>
      </c>
      <c r="F586">
        <v>42</v>
      </c>
      <c r="G586" t="s">
        <v>79</v>
      </c>
      <c r="H586">
        <v>3</v>
      </c>
      <c r="I586" t="s">
        <v>52</v>
      </c>
      <c r="J586" t="s">
        <v>113</v>
      </c>
      <c r="K586" t="s">
        <v>114</v>
      </c>
      <c r="L586" t="s">
        <v>55</v>
      </c>
      <c r="M586">
        <v>347214</v>
      </c>
      <c r="N586" t="s">
        <v>115</v>
      </c>
      <c r="O586" t="s">
        <v>35</v>
      </c>
      <c r="P586" t="s">
        <v>169</v>
      </c>
      <c r="Q586" t="s">
        <v>170</v>
      </c>
      <c r="R586" t="s">
        <v>126</v>
      </c>
      <c r="S586" t="str">
        <f t="shared" si="9"/>
        <v>35-44</v>
      </c>
    </row>
    <row r="587" spans="1:19" x14ac:dyDescent="0.3">
      <c r="A587">
        <v>586</v>
      </c>
      <c r="B587" t="s">
        <v>279</v>
      </c>
      <c r="C587" t="s">
        <v>181</v>
      </c>
      <c r="D587" t="s">
        <v>142</v>
      </c>
      <c r="E587" t="s">
        <v>51</v>
      </c>
      <c r="F587">
        <v>52</v>
      </c>
      <c r="G587" t="s">
        <v>72</v>
      </c>
      <c r="H587">
        <v>6</v>
      </c>
      <c r="I587" t="s">
        <v>122</v>
      </c>
      <c r="J587" t="s">
        <v>113</v>
      </c>
      <c r="K587" t="s">
        <v>113</v>
      </c>
      <c r="L587" t="s">
        <v>55</v>
      </c>
      <c r="M587">
        <v>88262</v>
      </c>
      <c r="N587" t="s">
        <v>96</v>
      </c>
      <c r="O587" t="s">
        <v>75</v>
      </c>
      <c r="P587" t="s">
        <v>217</v>
      </c>
      <c r="Q587" t="s">
        <v>233</v>
      </c>
      <c r="R587" t="s">
        <v>60</v>
      </c>
      <c r="S587" t="str">
        <f t="shared" si="9"/>
        <v>45-54</v>
      </c>
    </row>
    <row r="588" spans="1:19" x14ac:dyDescent="0.3">
      <c r="A588">
        <v>587</v>
      </c>
      <c r="B588" t="s">
        <v>322</v>
      </c>
      <c r="C588" t="s">
        <v>154</v>
      </c>
      <c r="D588" t="s">
        <v>249</v>
      </c>
      <c r="E588" t="s">
        <v>28</v>
      </c>
      <c r="F588">
        <v>59</v>
      </c>
      <c r="G588" t="s">
        <v>42</v>
      </c>
      <c r="H588">
        <v>12</v>
      </c>
      <c r="I588" t="s">
        <v>43</v>
      </c>
      <c r="J588" t="s">
        <v>113</v>
      </c>
      <c r="K588" t="s">
        <v>325</v>
      </c>
      <c r="L588" t="s">
        <v>33</v>
      </c>
      <c r="M588">
        <v>107797</v>
      </c>
      <c r="N588" t="s">
        <v>96</v>
      </c>
      <c r="O588" t="s">
        <v>57</v>
      </c>
      <c r="P588" t="s">
        <v>101</v>
      </c>
      <c r="Q588" t="s">
        <v>82</v>
      </c>
      <c r="R588" t="s">
        <v>38</v>
      </c>
      <c r="S588" t="str">
        <f t="shared" si="9"/>
        <v>55-65</v>
      </c>
    </row>
    <row r="589" spans="1:19" x14ac:dyDescent="0.3">
      <c r="A589">
        <v>588</v>
      </c>
      <c r="B589" t="s">
        <v>214</v>
      </c>
      <c r="C589" t="s">
        <v>160</v>
      </c>
      <c r="D589" t="s">
        <v>260</v>
      </c>
      <c r="E589" t="s">
        <v>28</v>
      </c>
      <c r="F589">
        <v>54</v>
      </c>
      <c r="G589" t="s">
        <v>72</v>
      </c>
      <c r="H589">
        <v>26</v>
      </c>
      <c r="I589" t="s">
        <v>73</v>
      </c>
      <c r="J589" t="s">
        <v>164</v>
      </c>
      <c r="K589" t="s">
        <v>270</v>
      </c>
      <c r="L589" t="s">
        <v>67</v>
      </c>
      <c r="M589">
        <v>184285</v>
      </c>
      <c r="N589" t="s">
        <v>34</v>
      </c>
      <c r="O589" t="s">
        <v>57</v>
      </c>
      <c r="P589" t="s">
        <v>169</v>
      </c>
      <c r="Q589" t="s">
        <v>265</v>
      </c>
      <c r="R589" t="s">
        <v>126</v>
      </c>
      <c r="S589" t="str">
        <f t="shared" si="9"/>
        <v>45-54</v>
      </c>
    </row>
    <row r="590" spans="1:19" x14ac:dyDescent="0.3">
      <c r="A590">
        <v>589</v>
      </c>
      <c r="B590" t="s">
        <v>322</v>
      </c>
      <c r="C590" t="s">
        <v>71</v>
      </c>
      <c r="D590" t="s">
        <v>273</v>
      </c>
      <c r="E590" t="s">
        <v>28</v>
      </c>
      <c r="F590">
        <v>23</v>
      </c>
      <c r="G590" t="s">
        <v>144</v>
      </c>
      <c r="H590">
        <v>23</v>
      </c>
      <c r="I590" t="s">
        <v>30</v>
      </c>
      <c r="J590" t="s">
        <v>123</v>
      </c>
      <c r="K590" t="s">
        <v>320</v>
      </c>
      <c r="L590" t="s">
        <v>67</v>
      </c>
      <c r="M590">
        <v>151586</v>
      </c>
      <c r="N590" t="s">
        <v>96</v>
      </c>
      <c r="O590" t="s">
        <v>35</v>
      </c>
      <c r="P590" t="s">
        <v>101</v>
      </c>
      <c r="Q590" t="s">
        <v>129</v>
      </c>
      <c r="R590" t="s">
        <v>103</v>
      </c>
      <c r="S590" t="str">
        <f t="shared" si="9"/>
        <v>18-24</v>
      </c>
    </row>
    <row r="591" spans="1:19" x14ac:dyDescent="0.3">
      <c r="A591">
        <v>590</v>
      </c>
      <c r="B591" t="s">
        <v>322</v>
      </c>
      <c r="C591" t="s">
        <v>189</v>
      </c>
      <c r="D591" t="s">
        <v>224</v>
      </c>
      <c r="E591" t="s">
        <v>28</v>
      </c>
      <c r="F591">
        <v>43</v>
      </c>
      <c r="G591" t="s">
        <v>139</v>
      </c>
      <c r="H591">
        <v>19</v>
      </c>
      <c r="I591" t="s">
        <v>140</v>
      </c>
      <c r="J591" t="s">
        <v>94</v>
      </c>
      <c r="K591" t="s">
        <v>151</v>
      </c>
      <c r="L591" t="s">
        <v>206</v>
      </c>
      <c r="M591">
        <v>177095</v>
      </c>
      <c r="N591" t="s">
        <v>96</v>
      </c>
      <c r="O591" t="s">
        <v>75</v>
      </c>
      <c r="P591" t="s">
        <v>230</v>
      </c>
      <c r="Q591" t="s">
        <v>250</v>
      </c>
      <c r="R591" t="s">
        <v>103</v>
      </c>
      <c r="S591" t="str">
        <f t="shared" si="9"/>
        <v>35-44</v>
      </c>
    </row>
    <row r="592" spans="1:19" x14ac:dyDescent="0.3">
      <c r="A592">
        <v>591</v>
      </c>
      <c r="B592" t="s">
        <v>109</v>
      </c>
      <c r="C592" t="s">
        <v>50</v>
      </c>
      <c r="D592" t="s">
        <v>163</v>
      </c>
      <c r="E592" t="s">
        <v>51</v>
      </c>
      <c r="F592">
        <v>26</v>
      </c>
      <c r="G592" t="s">
        <v>144</v>
      </c>
      <c r="H592">
        <v>16</v>
      </c>
      <c r="I592" t="s">
        <v>118</v>
      </c>
      <c r="J592" t="s">
        <v>44</v>
      </c>
      <c r="K592" t="s">
        <v>88</v>
      </c>
      <c r="L592" t="s">
        <v>67</v>
      </c>
      <c r="M592">
        <v>45730</v>
      </c>
      <c r="N592" t="s">
        <v>96</v>
      </c>
      <c r="O592" t="s">
        <v>57</v>
      </c>
      <c r="P592" t="s">
        <v>36</v>
      </c>
      <c r="Q592" t="s">
        <v>185</v>
      </c>
      <c r="R592" t="s">
        <v>60</v>
      </c>
      <c r="S592" t="str">
        <f t="shared" si="9"/>
        <v>25-34</v>
      </c>
    </row>
    <row r="593" spans="1:19" x14ac:dyDescent="0.3">
      <c r="A593">
        <v>592</v>
      </c>
      <c r="B593" t="s">
        <v>159</v>
      </c>
      <c r="C593" t="s">
        <v>93</v>
      </c>
      <c r="D593" t="s">
        <v>62</v>
      </c>
      <c r="E593" t="s">
        <v>28</v>
      </c>
      <c r="F593">
        <v>25</v>
      </c>
      <c r="G593" t="s">
        <v>150</v>
      </c>
      <c r="H593">
        <v>28</v>
      </c>
      <c r="I593" t="s">
        <v>122</v>
      </c>
      <c r="J593" t="s">
        <v>123</v>
      </c>
      <c r="K593" t="s">
        <v>245</v>
      </c>
      <c r="L593" t="s">
        <v>46</v>
      </c>
      <c r="M593">
        <v>104909</v>
      </c>
      <c r="N593" t="s">
        <v>115</v>
      </c>
      <c r="O593" t="s">
        <v>35</v>
      </c>
      <c r="P593" t="s">
        <v>76</v>
      </c>
      <c r="Q593" t="s">
        <v>305</v>
      </c>
      <c r="R593" t="s">
        <v>83</v>
      </c>
      <c r="S593" t="str">
        <f t="shared" si="9"/>
        <v>25-34</v>
      </c>
    </row>
    <row r="594" spans="1:19" x14ac:dyDescent="0.3">
      <c r="A594">
        <v>593</v>
      </c>
      <c r="B594" t="s">
        <v>328</v>
      </c>
      <c r="C594" t="s">
        <v>160</v>
      </c>
      <c r="D594" t="s">
        <v>260</v>
      </c>
      <c r="E594" t="s">
        <v>51</v>
      </c>
      <c r="F594">
        <v>27</v>
      </c>
      <c r="G594" t="s">
        <v>198</v>
      </c>
      <c r="H594">
        <v>1</v>
      </c>
      <c r="I594" t="s">
        <v>199</v>
      </c>
      <c r="J594" t="s">
        <v>164</v>
      </c>
      <c r="K594" t="s">
        <v>179</v>
      </c>
      <c r="L594" t="s">
        <v>55</v>
      </c>
      <c r="M594">
        <v>21785</v>
      </c>
      <c r="N594" t="s">
        <v>47</v>
      </c>
      <c r="O594" t="s">
        <v>35</v>
      </c>
      <c r="P594" t="s">
        <v>217</v>
      </c>
      <c r="Q594" t="s">
        <v>326</v>
      </c>
      <c r="R594" t="s">
        <v>38</v>
      </c>
      <c r="S594" t="str">
        <f t="shared" si="9"/>
        <v>25-34</v>
      </c>
    </row>
    <row r="595" spans="1:19" x14ac:dyDescent="0.3">
      <c r="A595">
        <v>594</v>
      </c>
      <c r="B595" t="s">
        <v>324</v>
      </c>
      <c r="C595" t="s">
        <v>62</v>
      </c>
      <c r="D595" t="s">
        <v>167</v>
      </c>
      <c r="E595" t="s">
        <v>51</v>
      </c>
      <c r="F595">
        <v>44</v>
      </c>
      <c r="G595" t="s">
        <v>87</v>
      </c>
      <c r="H595">
        <v>3</v>
      </c>
      <c r="I595" t="s">
        <v>80</v>
      </c>
      <c r="J595" t="s">
        <v>164</v>
      </c>
      <c r="K595" t="s">
        <v>164</v>
      </c>
      <c r="L595" t="s">
        <v>206</v>
      </c>
      <c r="M595">
        <v>111847</v>
      </c>
      <c r="N595" t="s">
        <v>47</v>
      </c>
      <c r="O595" t="s">
        <v>57</v>
      </c>
      <c r="P595" t="s">
        <v>89</v>
      </c>
      <c r="Q595" t="s">
        <v>119</v>
      </c>
      <c r="R595" t="s">
        <v>103</v>
      </c>
      <c r="S595" t="str">
        <f t="shared" si="9"/>
        <v>35-44</v>
      </c>
    </row>
    <row r="596" spans="1:19" x14ac:dyDescent="0.3">
      <c r="A596">
        <v>595</v>
      </c>
      <c r="B596" t="s">
        <v>296</v>
      </c>
      <c r="C596" t="s">
        <v>163</v>
      </c>
      <c r="D596" t="s">
        <v>249</v>
      </c>
      <c r="E596" t="s">
        <v>28</v>
      </c>
      <c r="F596">
        <v>27</v>
      </c>
      <c r="G596" t="s">
        <v>198</v>
      </c>
      <c r="H596">
        <v>25</v>
      </c>
      <c r="I596" t="s">
        <v>43</v>
      </c>
      <c r="J596" t="s">
        <v>123</v>
      </c>
      <c r="K596" t="s">
        <v>145</v>
      </c>
      <c r="L596" t="s">
        <v>46</v>
      </c>
      <c r="M596">
        <v>280935</v>
      </c>
      <c r="N596" t="s">
        <v>96</v>
      </c>
      <c r="O596" t="s">
        <v>57</v>
      </c>
      <c r="P596" t="s">
        <v>76</v>
      </c>
      <c r="Q596" t="s">
        <v>82</v>
      </c>
      <c r="R596" t="s">
        <v>38</v>
      </c>
      <c r="S596" t="str">
        <f t="shared" si="9"/>
        <v>25-34</v>
      </c>
    </row>
    <row r="597" spans="1:19" x14ac:dyDescent="0.3">
      <c r="A597">
        <v>596</v>
      </c>
      <c r="B597" t="s">
        <v>49</v>
      </c>
      <c r="C597" t="s">
        <v>110</v>
      </c>
      <c r="D597" t="s">
        <v>172</v>
      </c>
      <c r="E597" t="s">
        <v>51</v>
      </c>
      <c r="F597">
        <v>59</v>
      </c>
      <c r="G597" t="s">
        <v>72</v>
      </c>
      <c r="H597">
        <v>29</v>
      </c>
      <c r="I597" t="s">
        <v>73</v>
      </c>
      <c r="J597" t="s">
        <v>123</v>
      </c>
      <c r="K597" t="s">
        <v>327</v>
      </c>
      <c r="L597" t="s">
        <v>46</v>
      </c>
      <c r="M597">
        <v>248987</v>
      </c>
      <c r="N597" t="s">
        <v>47</v>
      </c>
      <c r="O597" t="s">
        <v>75</v>
      </c>
      <c r="P597" t="s">
        <v>101</v>
      </c>
      <c r="Q597" t="s">
        <v>125</v>
      </c>
      <c r="R597" t="s">
        <v>60</v>
      </c>
      <c r="S597" t="str">
        <f t="shared" si="9"/>
        <v>55-65</v>
      </c>
    </row>
    <row r="598" spans="1:19" x14ac:dyDescent="0.3">
      <c r="A598">
        <v>597</v>
      </c>
      <c r="B598" t="s">
        <v>177</v>
      </c>
      <c r="C598" t="s">
        <v>211</v>
      </c>
      <c r="D598" t="s">
        <v>110</v>
      </c>
      <c r="E598" t="s">
        <v>28</v>
      </c>
      <c r="F598">
        <v>48</v>
      </c>
      <c r="G598" t="s">
        <v>150</v>
      </c>
      <c r="H598">
        <v>25</v>
      </c>
      <c r="I598" t="s">
        <v>122</v>
      </c>
      <c r="J598" t="s">
        <v>113</v>
      </c>
      <c r="K598" t="s">
        <v>149</v>
      </c>
      <c r="L598" t="s">
        <v>46</v>
      </c>
      <c r="M598">
        <v>46498</v>
      </c>
      <c r="N598" t="s">
        <v>115</v>
      </c>
      <c r="O598" t="s">
        <v>35</v>
      </c>
      <c r="P598" t="s">
        <v>36</v>
      </c>
      <c r="Q598" t="s">
        <v>37</v>
      </c>
      <c r="R598" t="s">
        <v>83</v>
      </c>
      <c r="S598" t="str">
        <f t="shared" si="9"/>
        <v>45-54</v>
      </c>
    </row>
    <row r="599" spans="1:19" x14ac:dyDescent="0.3">
      <c r="A599">
        <v>598</v>
      </c>
      <c r="B599" t="s">
        <v>174</v>
      </c>
      <c r="C599" t="s">
        <v>86</v>
      </c>
      <c r="D599" t="s">
        <v>244</v>
      </c>
      <c r="E599" t="s">
        <v>28</v>
      </c>
      <c r="F599">
        <v>56</v>
      </c>
      <c r="G599" t="s">
        <v>198</v>
      </c>
      <c r="H599">
        <v>3</v>
      </c>
      <c r="I599" t="s">
        <v>199</v>
      </c>
      <c r="J599" t="s">
        <v>164</v>
      </c>
      <c r="K599" t="s">
        <v>209</v>
      </c>
      <c r="L599" t="s">
        <v>206</v>
      </c>
      <c r="M599">
        <v>208168</v>
      </c>
      <c r="N599" t="s">
        <v>34</v>
      </c>
      <c r="O599" t="s">
        <v>57</v>
      </c>
      <c r="P599" t="s">
        <v>76</v>
      </c>
      <c r="Q599" t="s">
        <v>200</v>
      </c>
      <c r="R599" t="s">
        <v>103</v>
      </c>
      <c r="S599" t="str">
        <f t="shared" si="9"/>
        <v>55-65</v>
      </c>
    </row>
    <row r="600" spans="1:19" x14ac:dyDescent="0.3">
      <c r="A600">
        <v>599</v>
      </c>
      <c r="B600" t="s">
        <v>314</v>
      </c>
      <c r="C600" t="s">
        <v>41</v>
      </c>
      <c r="D600" t="s">
        <v>224</v>
      </c>
      <c r="E600" t="s">
        <v>28</v>
      </c>
      <c r="F600">
        <v>25</v>
      </c>
      <c r="G600" t="s">
        <v>87</v>
      </c>
      <c r="H600">
        <v>13</v>
      </c>
      <c r="I600" t="s">
        <v>80</v>
      </c>
      <c r="J600" t="s">
        <v>53</v>
      </c>
      <c r="K600" t="s">
        <v>54</v>
      </c>
      <c r="L600" t="s">
        <v>67</v>
      </c>
      <c r="M600">
        <v>63014</v>
      </c>
      <c r="N600" t="s">
        <v>115</v>
      </c>
      <c r="O600" t="s">
        <v>57</v>
      </c>
      <c r="P600" t="s">
        <v>101</v>
      </c>
      <c r="Q600" t="s">
        <v>102</v>
      </c>
      <c r="R600" t="s">
        <v>60</v>
      </c>
      <c r="S600" t="str">
        <f t="shared" si="9"/>
        <v>25-34</v>
      </c>
    </row>
    <row r="601" spans="1:19" x14ac:dyDescent="0.3">
      <c r="A601">
        <v>600</v>
      </c>
      <c r="B601" t="s">
        <v>120</v>
      </c>
      <c r="C601" t="s">
        <v>136</v>
      </c>
      <c r="D601" t="s">
        <v>189</v>
      </c>
      <c r="E601" t="s">
        <v>28</v>
      </c>
      <c r="F601">
        <v>29</v>
      </c>
      <c r="G601" t="s">
        <v>144</v>
      </c>
      <c r="H601">
        <v>2</v>
      </c>
      <c r="I601" t="s">
        <v>118</v>
      </c>
      <c r="J601" t="s">
        <v>94</v>
      </c>
      <c r="K601" t="s">
        <v>306</v>
      </c>
      <c r="L601" t="s">
        <v>33</v>
      </c>
      <c r="M601">
        <v>107818</v>
      </c>
      <c r="N601" t="s">
        <v>47</v>
      </c>
      <c r="O601" t="s">
        <v>35</v>
      </c>
      <c r="P601" t="s">
        <v>97</v>
      </c>
      <c r="Q601" t="s">
        <v>98</v>
      </c>
      <c r="R601" t="s">
        <v>103</v>
      </c>
      <c r="S601" t="str">
        <f t="shared" si="9"/>
        <v>25-34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L58"/>
  <sheetViews>
    <sheetView showGridLines="0" zoomScaleNormal="100" workbookViewId="0"/>
  </sheetViews>
  <sheetFormatPr baseColWidth="10" defaultColWidth="8.6640625" defaultRowHeight="14.4" x14ac:dyDescent="0.3"/>
  <cols>
    <col min="1" max="1" width="2" customWidth="1"/>
    <col min="2" max="2" width="20" customWidth="1"/>
    <col min="3" max="3" width="11" customWidth="1"/>
    <col min="4" max="4" width="16" customWidth="1"/>
    <col min="5" max="5" width="2" customWidth="1"/>
    <col min="6" max="6" width="20" customWidth="1"/>
    <col min="7" max="7" width="11" customWidth="1"/>
    <col min="8" max="8" width="16" customWidth="1"/>
    <col min="9" max="9" width="2" customWidth="1"/>
    <col min="10" max="10" width="20" customWidth="1"/>
    <col min="11" max="11" width="11" customWidth="1"/>
    <col min="12" max="12" width="16" customWidth="1"/>
  </cols>
  <sheetData>
    <row r="2" spans="2:12" ht="16.8" x14ac:dyDescent="0.3">
      <c r="B2" s="11" t="s">
        <v>332</v>
      </c>
      <c r="F2" s="11" t="s">
        <v>333</v>
      </c>
      <c r="J2" s="11" t="s">
        <v>334</v>
      </c>
    </row>
    <row r="3" spans="2:12" x14ac:dyDescent="0.3">
      <c r="B3" s="12" t="s">
        <v>335</v>
      </c>
      <c r="C3" s="12" t="s">
        <v>336</v>
      </c>
      <c r="D3" s="12" t="s">
        <v>337</v>
      </c>
      <c r="F3" s="12" t="s">
        <v>335</v>
      </c>
      <c r="G3" s="12" t="s">
        <v>336</v>
      </c>
      <c r="H3" s="12" t="s">
        <v>337</v>
      </c>
      <c r="J3" s="12" t="s">
        <v>335</v>
      </c>
      <c r="K3" s="12" t="s">
        <v>336</v>
      </c>
      <c r="L3" s="12" t="s">
        <v>337</v>
      </c>
    </row>
    <row r="4" spans="2:12" x14ac:dyDescent="0.3">
      <c r="B4" s="13" t="s">
        <v>194</v>
      </c>
      <c r="C4" s="14">
        <f>COUNTIF(Datos!$G$2:$G$601,B4)</f>
        <v>45</v>
      </c>
      <c r="D4" s="15">
        <f>IFERROR(AVERAGEIF(Datos!$G$2:$G$601,B4,Datos!$M$2:$M$601),0)</f>
        <v>178318.04444444444</v>
      </c>
      <c r="F4" s="13" t="s">
        <v>338</v>
      </c>
      <c r="G4" s="14">
        <f>COUNTIF(Datos!$S$2:$S$601,F4)</f>
        <v>70</v>
      </c>
      <c r="H4" s="15">
        <f>IFERROR(AVERAGEIF(Datos!$S$2:$S$601,F4,Datos!$M$2:$M$601),0)</f>
        <v>159406.65714285715</v>
      </c>
      <c r="J4" s="13" t="s">
        <v>31</v>
      </c>
      <c r="K4" s="14">
        <f>COUNTIF(Datos!$J$2:$J$601,J4)</f>
        <v>80</v>
      </c>
      <c r="L4" s="15">
        <f>IFERROR(AVERAGEIF(Datos!$J$2:$J$601,J4,Datos!$M$2:$M$601),0)</f>
        <v>181249.86249999999</v>
      </c>
    </row>
    <row r="5" spans="2:12" x14ac:dyDescent="0.3">
      <c r="B5" s="13" t="s">
        <v>64</v>
      </c>
      <c r="C5" s="14">
        <f>COUNTIF(Datos!$G$2:$G$601,B5)</f>
        <v>49</v>
      </c>
      <c r="D5" s="15">
        <f>IFERROR(AVERAGEIF(Datos!$G$2:$G$601,B5,Datos!$M$2:$M$601),0)</f>
        <v>188636.12244897959</v>
      </c>
      <c r="F5" s="13" t="s">
        <v>339</v>
      </c>
      <c r="G5" s="14">
        <f>COUNTIF(Datos!$S$2:$S$601,F5)</f>
        <v>120</v>
      </c>
      <c r="H5" s="15">
        <f>IFERROR(AVERAGEIF(Datos!$S$2:$S$601,F5,Datos!$M$2:$M$601),0)</f>
        <v>173849.31666666668</v>
      </c>
      <c r="J5" s="13" t="s">
        <v>53</v>
      </c>
      <c r="K5" s="14">
        <f>COUNTIF(Datos!$J$2:$J$601,J5)</f>
        <v>77</v>
      </c>
      <c r="L5" s="15">
        <f>IFERROR(AVERAGEIF(Datos!$J$2:$J$601,J5,Datos!$M$2:$M$601),0)</f>
        <v>162808.27272727274</v>
      </c>
    </row>
    <row r="6" spans="2:12" x14ac:dyDescent="0.3">
      <c r="B6" s="13" t="s">
        <v>144</v>
      </c>
      <c r="C6" s="14">
        <f>COUNTIF(Datos!$G$2:$G$601,B6)</f>
        <v>37</v>
      </c>
      <c r="D6" s="15">
        <f>IFERROR(AVERAGEIF(Datos!$G$2:$G$601,B6,Datos!$M$2:$M$601),0)</f>
        <v>188493</v>
      </c>
      <c r="F6" s="13" t="s">
        <v>340</v>
      </c>
      <c r="G6" s="14">
        <f>COUNTIF(Datos!$S$2:$S$601,F6)</f>
        <v>137</v>
      </c>
      <c r="H6" s="15">
        <f>IFERROR(AVERAGEIF(Datos!$S$2:$S$601,F6,Datos!$M$2:$M$601),0)</f>
        <v>168954.58394160584</v>
      </c>
      <c r="J6" s="13" t="s">
        <v>94</v>
      </c>
      <c r="K6" s="14">
        <f>COUNTIF(Datos!$J$2:$J$601,J6)</f>
        <v>94</v>
      </c>
      <c r="L6" s="15">
        <f>IFERROR(AVERAGEIF(Datos!$J$2:$J$601,J6,Datos!$M$2:$M$601),0)</f>
        <v>185151.87234042553</v>
      </c>
    </row>
    <row r="7" spans="2:12" x14ac:dyDescent="0.3">
      <c r="B7" s="13" t="s">
        <v>29</v>
      </c>
      <c r="C7" s="14">
        <f>COUNTIF(Datos!$G$2:$G$601,B7)</f>
        <v>37</v>
      </c>
      <c r="D7" s="15">
        <f>IFERROR(AVERAGEIF(Datos!$G$2:$G$601,B7,Datos!$M$2:$M$601),0)</f>
        <v>199646.72972972973</v>
      </c>
      <c r="F7" s="13" t="s">
        <v>341</v>
      </c>
      <c r="G7" s="14">
        <f>COUNTIF(Datos!$S$2:$S$601,F7)</f>
        <v>122</v>
      </c>
      <c r="H7" s="15">
        <f>IFERROR(AVERAGEIF(Datos!$S$2:$S$601,F7,Datos!$M$2:$M$601),0)</f>
        <v>183341.78688524591</v>
      </c>
      <c r="J7" s="13" t="s">
        <v>123</v>
      </c>
      <c r="K7" s="14">
        <f>COUNTIF(Datos!$J$2:$J$601,J7)</f>
        <v>78</v>
      </c>
      <c r="L7" s="15">
        <f>IFERROR(AVERAGEIF(Datos!$J$2:$J$601,J7,Datos!$M$2:$M$601),0)</f>
        <v>185109.02564102566</v>
      </c>
    </row>
    <row r="8" spans="2:12" x14ac:dyDescent="0.3">
      <c r="B8" s="13" t="s">
        <v>79</v>
      </c>
      <c r="C8" s="14">
        <f>COUNTIF(Datos!$G$2:$G$601,B8)</f>
        <v>55</v>
      </c>
      <c r="D8" s="15">
        <f>IFERROR(AVERAGEIF(Datos!$G$2:$G$601,B8,Datos!$M$2:$M$601),0)</f>
        <v>182785.05454545454</v>
      </c>
      <c r="F8" s="13" t="s">
        <v>342</v>
      </c>
      <c r="G8" s="14">
        <f>COUNTIF(Datos!$S$2:$S$601,F8)</f>
        <v>151</v>
      </c>
      <c r="H8" s="15">
        <f>IFERROR(AVERAGEIF(Datos!$S$2:$S$601,F8,Datos!$M$2:$M$601),0)</f>
        <v>177767.59602649006</v>
      </c>
      <c r="J8" s="13" t="s">
        <v>164</v>
      </c>
      <c r="K8" s="14">
        <f>COUNTIF(Datos!$J$2:$J$601,J8)</f>
        <v>88</v>
      </c>
      <c r="L8" s="15">
        <f>IFERROR(AVERAGEIF(Datos!$J$2:$J$601,J8,Datos!$M$2:$M$601),0)</f>
        <v>181292.51136363635</v>
      </c>
    </row>
    <row r="9" spans="2:12" x14ac:dyDescent="0.3">
      <c r="B9" s="13" t="s">
        <v>87</v>
      </c>
      <c r="C9" s="14">
        <f>COUNTIF(Datos!$G$2:$G$601,B9)</f>
        <v>56</v>
      </c>
      <c r="D9" s="15">
        <f>IFERROR(AVERAGEIF(Datos!$G$2:$G$601,B9,Datos!$M$2:$M$601),0)</f>
        <v>172604.625</v>
      </c>
      <c r="J9" s="13" t="s">
        <v>44</v>
      </c>
      <c r="K9" s="14">
        <f>COUNTIF(Datos!$J$2:$J$601,J9)</f>
        <v>89</v>
      </c>
      <c r="L9" s="15">
        <f>IFERROR(AVERAGEIF(Datos!$J$2:$J$601,J9,Datos!$M$2:$M$601),0)</f>
        <v>152216.53932584269</v>
      </c>
    </row>
    <row r="10" spans="2:12" x14ac:dyDescent="0.3">
      <c r="B10" s="13" t="s">
        <v>139</v>
      </c>
      <c r="C10" s="14">
        <f>COUNTIF(Datos!$G$2:$G$601,B10)</f>
        <v>42</v>
      </c>
      <c r="D10" s="15">
        <f>IFERROR(AVERAGEIF(Datos!$G$2:$G$601,B10,Datos!$M$2:$M$601),0)</f>
        <v>163917.88095238095</v>
      </c>
      <c r="J10" s="13" t="s">
        <v>113</v>
      </c>
      <c r="K10" s="14">
        <f>COUNTIF(Datos!$J$2:$J$601,J10)</f>
        <v>94</v>
      </c>
      <c r="L10" s="15">
        <f>IFERROR(AVERAGEIF(Datos!$J$2:$J$601,J10,Datos!$M$2:$M$601),0)</f>
        <v>170188.80851063831</v>
      </c>
    </row>
    <row r="11" spans="2:12" x14ac:dyDescent="0.3">
      <c r="B11" s="13" t="s">
        <v>198</v>
      </c>
      <c r="C11" s="14">
        <f>COUNTIF(Datos!$G$2:$G$601,B11)</f>
        <v>59</v>
      </c>
      <c r="D11" s="15">
        <f>IFERROR(AVERAGEIF(Datos!$G$2:$G$601,B11,Datos!$M$2:$M$601),0)</f>
        <v>171464.93220338982</v>
      </c>
    </row>
    <row r="12" spans="2:12" x14ac:dyDescent="0.3">
      <c r="B12" s="13" t="s">
        <v>42</v>
      </c>
      <c r="C12" s="14">
        <f>COUNTIF(Datos!$G$2:$G$601,B12)</f>
        <v>51</v>
      </c>
      <c r="D12" s="15">
        <f>IFERROR(AVERAGEIF(Datos!$G$2:$G$601,B12,Datos!$M$2:$M$601),0)</f>
        <v>169909.92156862744</v>
      </c>
    </row>
    <row r="13" spans="2:12" x14ac:dyDescent="0.3">
      <c r="B13" s="13" t="s">
        <v>150</v>
      </c>
      <c r="C13" s="14">
        <f>COUNTIF(Datos!$G$2:$G$601,B13)</f>
        <v>51</v>
      </c>
      <c r="D13" s="15">
        <f>IFERROR(AVERAGEIF(Datos!$G$2:$G$601,B13,Datos!$M$2:$M$601),0)</f>
        <v>157084.88235294117</v>
      </c>
    </row>
    <row r="14" spans="2:12" x14ac:dyDescent="0.3">
      <c r="B14" s="13" t="s">
        <v>72</v>
      </c>
      <c r="C14" s="14">
        <f>COUNTIF(Datos!$G$2:$G$601,B14)</f>
        <v>60</v>
      </c>
      <c r="D14" s="15">
        <f>IFERROR(AVERAGEIF(Datos!$G$2:$G$601,B14,Datos!$M$2:$M$601),0)</f>
        <v>157911.78333333333</v>
      </c>
    </row>
    <row r="15" spans="2:12" x14ac:dyDescent="0.3">
      <c r="B15" s="13" t="s">
        <v>107</v>
      </c>
      <c r="C15" s="14">
        <f>COUNTIF(Datos!$G$2:$G$601,B15)</f>
        <v>58</v>
      </c>
      <c r="D15" s="15">
        <f>IFERROR(AVERAGEIF(Datos!$G$2:$G$601,B15,Datos!$M$2:$M$601),0)</f>
        <v>170304.37931034484</v>
      </c>
    </row>
    <row r="20" spans="2:12" ht="16.8" x14ac:dyDescent="0.3">
      <c r="B20" s="11" t="s">
        <v>343</v>
      </c>
      <c r="F20" s="11" t="s">
        <v>344</v>
      </c>
      <c r="J20" s="11" t="s">
        <v>345</v>
      </c>
    </row>
    <row r="21" spans="2:12" x14ac:dyDescent="0.3">
      <c r="B21" s="12" t="s">
        <v>335</v>
      </c>
      <c r="C21" s="12" t="s">
        <v>336</v>
      </c>
      <c r="D21" s="12" t="s">
        <v>337</v>
      </c>
      <c r="F21" s="12" t="s">
        <v>335</v>
      </c>
      <c r="G21" s="12" t="s">
        <v>336</v>
      </c>
      <c r="J21" s="12" t="s">
        <v>335</v>
      </c>
      <c r="K21" s="12" t="s">
        <v>336</v>
      </c>
      <c r="L21" s="12" t="s">
        <v>337</v>
      </c>
    </row>
    <row r="22" spans="2:12" x14ac:dyDescent="0.3">
      <c r="B22" s="13" t="s">
        <v>55</v>
      </c>
      <c r="C22" s="14">
        <f>COUNTIF(Datos!$L$2:$L$601,B22)</f>
        <v>134</v>
      </c>
      <c r="D22" s="15">
        <f>IFERROR(AVERAGEIF(Datos!$L$2:$L$601,B22,Datos!$M$2:$M$601),0)</f>
        <v>182280.91044776118</v>
      </c>
      <c r="F22" s="13" t="s">
        <v>56</v>
      </c>
      <c r="G22" s="14">
        <f>COUNTIF(Datos!$N$2:$N$601,F22)</f>
        <v>124</v>
      </c>
      <c r="J22" s="13" t="s">
        <v>35</v>
      </c>
      <c r="K22" s="14">
        <f>COUNTIF(Datos!$O$2:$O$601,J22)</f>
        <v>200</v>
      </c>
      <c r="L22" s="15">
        <f>IFERROR(AVERAGEIF(Datos!$O$2:$O$601,J22,Datos!$M$2:$M$601),0)</f>
        <v>171906.64499999999</v>
      </c>
    </row>
    <row r="23" spans="2:12" x14ac:dyDescent="0.3">
      <c r="B23" s="13" t="s">
        <v>206</v>
      </c>
      <c r="C23" s="14">
        <f>COUNTIF(Datos!$L$2:$L$601,B23)</f>
        <v>126</v>
      </c>
      <c r="D23" s="15">
        <f>IFERROR(AVERAGEIF(Datos!$L$2:$L$601,B23,Datos!$M$2:$M$601),0)</f>
        <v>186101.77777777778</v>
      </c>
      <c r="F23" s="13" t="s">
        <v>34</v>
      </c>
      <c r="G23" s="14">
        <f>COUNTIF(Datos!$N$2:$N$601,F23)</f>
        <v>126</v>
      </c>
      <c r="J23" s="13" t="s">
        <v>57</v>
      </c>
      <c r="K23" s="14">
        <f>COUNTIF(Datos!$O$2:$O$601,J23)</f>
        <v>208</v>
      </c>
      <c r="L23" s="15">
        <f>IFERROR(AVERAGEIF(Datos!$O$2:$O$601,J23,Datos!$M$2:$M$601),0)</f>
        <v>180723.88942307694</v>
      </c>
    </row>
    <row r="24" spans="2:12" x14ac:dyDescent="0.3">
      <c r="B24" s="13" t="s">
        <v>67</v>
      </c>
      <c r="C24" s="14">
        <f>COUNTIF(Datos!$L$2:$L$601,B24)</f>
        <v>118</v>
      </c>
      <c r="D24" s="15">
        <f>IFERROR(AVERAGEIF(Datos!$L$2:$L$601,B24,Datos!$M$2:$M$601),0)</f>
        <v>169112.11016949153</v>
      </c>
      <c r="F24" s="13" t="s">
        <v>115</v>
      </c>
      <c r="G24" s="14">
        <f>COUNTIF(Datos!$N$2:$N$601,F24)</f>
        <v>114</v>
      </c>
      <c r="J24" s="13" t="s">
        <v>75</v>
      </c>
      <c r="K24" s="14">
        <f>COUNTIF(Datos!$O$2:$O$601,J24)</f>
        <v>192</v>
      </c>
      <c r="L24" s="15">
        <f>IFERROR(AVERAGEIF(Datos!$O$2:$O$601,J24,Datos!$M$2:$M$601),0)</f>
        <v>168780.56770833334</v>
      </c>
    </row>
    <row r="25" spans="2:12" x14ac:dyDescent="0.3">
      <c r="B25" s="13" t="s">
        <v>33</v>
      </c>
      <c r="C25" s="14">
        <f>COUNTIF(Datos!$L$2:$L$601,B25)</f>
        <v>114</v>
      </c>
      <c r="D25" s="15">
        <f>IFERROR(AVERAGEIF(Datos!$L$2:$L$601,B25,Datos!$M$2:$M$601),0)</f>
        <v>156390.27192982455</v>
      </c>
      <c r="F25" s="13" t="s">
        <v>47</v>
      </c>
      <c r="G25" s="14">
        <f>COUNTIF(Datos!$N$2:$N$601,F25)</f>
        <v>110</v>
      </c>
    </row>
    <row r="26" spans="2:12" x14ac:dyDescent="0.3">
      <c r="B26" s="13" t="s">
        <v>46</v>
      </c>
      <c r="C26" s="14">
        <f>COUNTIF(Datos!$L$2:$L$601,B26)</f>
        <v>108</v>
      </c>
      <c r="D26" s="15">
        <f>IFERROR(AVERAGEIF(Datos!$L$2:$L$601,B26,Datos!$M$2:$M$601),0)</f>
        <v>173329.45370370371</v>
      </c>
      <c r="F26" s="13" t="s">
        <v>96</v>
      </c>
      <c r="G26" s="14">
        <f>COUNTIF(Datos!$N$2:$N$601,F26)</f>
        <v>126</v>
      </c>
    </row>
    <row r="31" spans="2:12" ht="16.8" x14ac:dyDescent="0.3">
      <c r="B31" s="11" t="s">
        <v>346</v>
      </c>
      <c r="F31" s="11" t="s">
        <v>347</v>
      </c>
      <c r="J31" s="11" t="s">
        <v>348</v>
      </c>
    </row>
    <row r="32" spans="2:12" x14ac:dyDescent="0.3">
      <c r="B32" s="12" t="s">
        <v>335</v>
      </c>
      <c r="C32" s="12" t="s">
        <v>336</v>
      </c>
      <c r="D32" s="12" t="s">
        <v>337</v>
      </c>
      <c r="F32" s="12" t="s">
        <v>335</v>
      </c>
      <c r="G32" s="12" t="s">
        <v>336</v>
      </c>
      <c r="J32" s="12" t="s">
        <v>335</v>
      </c>
      <c r="K32" s="12" t="s">
        <v>336</v>
      </c>
      <c r="L32" s="12" t="s">
        <v>337</v>
      </c>
    </row>
    <row r="33" spans="2:12" x14ac:dyDescent="0.3">
      <c r="B33" s="13" t="s">
        <v>36</v>
      </c>
      <c r="C33" s="14">
        <f>COUNTIF(Datos!$P$2:$P$601,B33)</f>
        <v>75</v>
      </c>
      <c r="D33" s="15">
        <f>IFERROR(AVERAGEIF(Datos!$P$2:$P$601,B33,Datos!$M$2:$M$601),0)</f>
        <v>170102.50666666665</v>
      </c>
      <c r="F33" s="13" t="s">
        <v>77</v>
      </c>
      <c r="G33" s="14">
        <f>COUNTIF(Datos!$Q$2:$Q$601,F33)</f>
        <v>27</v>
      </c>
      <c r="J33" s="13" t="s">
        <v>126</v>
      </c>
      <c r="K33" s="14">
        <f>COUNTIF(Datos!$R$2:$R$601,J33)</f>
        <v>128</v>
      </c>
      <c r="L33" s="15">
        <f>IFERROR(AVERAGEIF(Datos!$R$2:$R$601,J33,Datos!$M$2:$M$601),0)</f>
        <v>180201.8203125</v>
      </c>
    </row>
    <row r="34" spans="2:12" x14ac:dyDescent="0.3">
      <c r="B34" s="13" t="s">
        <v>101</v>
      </c>
      <c r="C34" s="14">
        <f>COUNTIF(Datos!$P$2:$P$601,B34)</f>
        <v>74</v>
      </c>
      <c r="D34" s="15">
        <f>IFERROR(AVERAGEIF(Datos!$P$2:$P$601,B34,Datos!$M$2:$M$601),0)</f>
        <v>187896.40540540541</v>
      </c>
      <c r="F34" s="13" t="s">
        <v>161</v>
      </c>
      <c r="G34" s="14">
        <f>COUNTIF(Datos!$Q$2:$Q$601,F34)</f>
        <v>23</v>
      </c>
      <c r="J34" s="13" t="s">
        <v>38</v>
      </c>
      <c r="K34" s="14">
        <f>COUNTIF(Datos!$R$2:$R$601,J34)</f>
        <v>125</v>
      </c>
      <c r="L34" s="15">
        <f>IFERROR(AVERAGEIF(Datos!$R$2:$R$601,J34,Datos!$M$2:$M$601),0)</f>
        <v>185016.22399999999</v>
      </c>
    </row>
    <row r="35" spans="2:12" x14ac:dyDescent="0.3">
      <c r="B35" s="13" t="s">
        <v>169</v>
      </c>
      <c r="C35" s="14">
        <f>COUNTIF(Datos!$P$2:$P$601,B35)</f>
        <v>69</v>
      </c>
      <c r="D35" s="15">
        <f>IFERROR(AVERAGEIF(Datos!$P$2:$P$601,B35,Datos!$M$2:$M$601),0)</f>
        <v>166070.65217391305</v>
      </c>
      <c r="F35" s="13" t="s">
        <v>82</v>
      </c>
      <c r="G35" s="14">
        <f>COUNTIF(Datos!$Q$2:$Q$601,F35)</f>
        <v>22</v>
      </c>
      <c r="J35" s="13" t="s">
        <v>83</v>
      </c>
      <c r="K35" s="14">
        <f>COUNTIF(Datos!$R$2:$R$601,J35)</f>
        <v>125</v>
      </c>
      <c r="L35" s="15">
        <f>IFERROR(AVERAGEIF(Datos!$R$2:$R$601,J35,Datos!$M$2:$M$601),0)</f>
        <v>171755.47200000001</v>
      </c>
    </row>
    <row r="36" spans="2:12" x14ac:dyDescent="0.3">
      <c r="B36" s="13" t="s">
        <v>76</v>
      </c>
      <c r="C36" s="14">
        <f>COUNTIF(Datos!$P$2:$P$601,B36)</f>
        <v>62</v>
      </c>
      <c r="D36" s="15">
        <f>IFERROR(AVERAGEIF(Datos!$P$2:$P$601,B36,Datos!$M$2:$M$601),0)</f>
        <v>189283.82258064515</v>
      </c>
      <c r="F36" s="13" t="s">
        <v>192</v>
      </c>
      <c r="G36" s="14">
        <f>COUNTIF(Datos!$Q$2:$Q$601,F36)</f>
        <v>19</v>
      </c>
      <c r="J36" s="13" t="s">
        <v>103</v>
      </c>
      <c r="K36" s="14">
        <f>COUNTIF(Datos!$R$2:$R$601,J36)</f>
        <v>119</v>
      </c>
      <c r="L36" s="15">
        <f>IFERROR(AVERAGEIF(Datos!$R$2:$R$601,J36,Datos!$M$2:$M$601),0)</f>
        <v>162310.01680672268</v>
      </c>
    </row>
    <row r="37" spans="2:12" x14ac:dyDescent="0.3">
      <c r="B37" s="13" t="s">
        <v>97</v>
      </c>
      <c r="C37" s="14">
        <f>COUNTIF(Datos!$P$2:$P$601,B37)</f>
        <v>59</v>
      </c>
      <c r="D37" s="15">
        <f>IFERROR(AVERAGEIF(Datos!$P$2:$P$601,B37,Datos!$M$2:$M$601),0)</f>
        <v>182216.79661016949</v>
      </c>
      <c r="F37" s="13" t="s">
        <v>125</v>
      </c>
      <c r="G37" s="14">
        <f>COUNTIF(Datos!$Q$2:$Q$601,F37)</f>
        <v>17</v>
      </c>
      <c r="J37" s="13" t="s">
        <v>60</v>
      </c>
      <c r="K37" s="14">
        <f>COUNTIF(Datos!$R$2:$R$601,J37)</f>
        <v>103</v>
      </c>
      <c r="L37" s="15">
        <f>IFERROR(AVERAGEIF(Datos!$R$2:$R$601,J37,Datos!$M$2:$M$601),0)</f>
        <v>168937.66990291263</v>
      </c>
    </row>
    <row r="38" spans="2:12" x14ac:dyDescent="0.3">
      <c r="B38" s="13" t="s">
        <v>230</v>
      </c>
      <c r="C38" s="14">
        <f>COUNTIF(Datos!$P$2:$P$601,B38)</f>
        <v>59</v>
      </c>
      <c r="D38" s="15">
        <f>IFERROR(AVERAGEIF(Datos!$P$2:$P$601,B38,Datos!$M$2:$M$601),0)</f>
        <v>175846.62711864407</v>
      </c>
      <c r="F38" s="13" t="s">
        <v>200</v>
      </c>
      <c r="G38" s="14">
        <f>COUNTIF(Datos!$Q$2:$Q$601,F38)</f>
        <v>17</v>
      </c>
    </row>
    <row r="39" spans="2:12" x14ac:dyDescent="0.3">
      <c r="B39" s="13" t="s">
        <v>89</v>
      </c>
      <c r="C39" s="14">
        <f>COUNTIF(Datos!$P$2:$P$601,B39)</f>
        <v>54</v>
      </c>
      <c r="D39" s="15">
        <f>IFERROR(AVERAGEIF(Datos!$P$2:$P$601,B39,Datos!$M$2:$M$601),0)</f>
        <v>147853.92592592593</v>
      </c>
      <c r="F39" s="13" t="s">
        <v>37</v>
      </c>
      <c r="G39" s="14">
        <f>COUNTIF(Datos!$Q$2:$Q$601,F39)</f>
        <v>16</v>
      </c>
    </row>
    <row r="40" spans="2:12" x14ac:dyDescent="0.3">
      <c r="B40" s="13" t="s">
        <v>68</v>
      </c>
      <c r="C40" s="14">
        <f>COUNTIF(Datos!$P$2:$P$601,B40)</f>
        <v>51</v>
      </c>
      <c r="D40" s="15">
        <f>IFERROR(AVERAGEIF(Datos!$P$2:$P$601,B40,Datos!$M$2:$M$601),0)</f>
        <v>186938.49019607843</v>
      </c>
      <c r="F40" s="13" t="s">
        <v>129</v>
      </c>
      <c r="G40" s="14">
        <f>COUNTIF(Datos!$Q$2:$Q$601,F40)</f>
        <v>15</v>
      </c>
    </row>
    <row r="41" spans="2:12" x14ac:dyDescent="0.3">
      <c r="B41" s="13" t="s">
        <v>217</v>
      </c>
      <c r="C41" s="14">
        <f>COUNTIF(Datos!$P$2:$P$601,B41)</f>
        <v>49</v>
      </c>
      <c r="D41" s="15">
        <f>IFERROR(AVERAGEIF(Datos!$P$2:$P$601,B41,Datos!$M$2:$M$601),0)</f>
        <v>169513.83673469388</v>
      </c>
      <c r="F41" s="13" t="s">
        <v>165</v>
      </c>
      <c r="G41" s="14">
        <f>COUNTIF(Datos!$Q$2:$Q$601,F41)</f>
        <v>15</v>
      </c>
    </row>
    <row r="42" spans="2:12" x14ac:dyDescent="0.3">
      <c r="B42" s="13" t="s">
        <v>58</v>
      </c>
      <c r="C42" s="14">
        <f>COUNTIF(Datos!$P$2:$P$601,B42)</f>
        <v>48</v>
      </c>
      <c r="D42" s="15">
        <f>IFERROR(AVERAGEIF(Datos!$P$2:$P$601,B42,Datos!$M$2:$M$601),0)</f>
        <v>157737.04166666666</v>
      </c>
      <c r="F42" s="13" t="s">
        <v>250</v>
      </c>
      <c r="G42" s="14">
        <f>COUNTIF(Datos!$Q$2:$Q$601,F42)</f>
        <v>15</v>
      </c>
    </row>
    <row r="43" spans="2:12" x14ac:dyDescent="0.3">
      <c r="F43" s="13" t="s">
        <v>102</v>
      </c>
      <c r="G43" s="14">
        <f>COUNTIF(Datos!$Q$2:$Q$601,F43)</f>
        <v>14</v>
      </c>
    </row>
    <row r="44" spans="2:12" x14ac:dyDescent="0.3">
      <c r="F44" s="13" t="s">
        <v>152</v>
      </c>
      <c r="G44" s="14">
        <f>COUNTIF(Datos!$Q$2:$Q$601,F44)</f>
        <v>14</v>
      </c>
    </row>
    <row r="45" spans="2:12" ht="16.8" x14ac:dyDescent="0.3">
      <c r="B45" s="11" t="s">
        <v>349</v>
      </c>
      <c r="F45" s="11" t="s">
        <v>350</v>
      </c>
    </row>
    <row r="46" spans="2:12" x14ac:dyDescent="0.3">
      <c r="B46" s="12" t="s">
        <v>335</v>
      </c>
      <c r="C46" s="12" t="s">
        <v>336</v>
      </c>
      <c r="F46" s="12" t="s">
        <v>335</v>
      </c>
      <c r="G46" s="12" t="s">
        <v>336</v>
      </c>
      <c r="H46" s="12" t="s">
        <v>337</v>
      </c>
    </row>
    <row r="47" spans="2:12" x14ac:dyDescent="0.3">
      <c r="B47" s="13" t="s">
        <v>73</v>
      </c>
      <c r="C47" s="14">
        <f>COUNTIF(Datos!$I$2:$I$601,B47)</f>
        <v>62</v>
      </c>
      <c r="F47" s="13" t="s">
        <v>28</v>
      </c>
      <c r="G47" s="14">
        <f>COUNTIF(Datos!$E$2:$E$601,F47)</f>
        <v>313</v>
      </c>
      <c r="H47" s="15">
        <f>IFERROR(AVERAGEIF(Datos!$E$2:$E$601,F47,Datos!$M$2:$M$601),0)</f>
        <v>175479.17252396166</v>
      </c>
    </row>
    <row r="48" spans="2:12" x14ac:dyDescent="0.3">
      <c r="B48" s="13" t="s">
        <v>43</v>
      </c>
      <c r="C48" s="14">
        <f>COUNTIF(Datos!$I$2:$I$601,B48)</f>
        <v>58</v>
      </c>
      <c r="F48" s="13" t="s">
        <v>51</v>
      </c>
      <c r="G48" s="14">
        <f>COUNTIF(Datos!$E$2:$E$601,F48)</f>
        <v>287</v>
      </c>
      <c r="H48" s="15">
        <f>IFERROR(AVERAGEIF(Datos!$E$2:$E$601,F48,Datos!$M$2:$M$601),0)</f>
        <v>172309.35888501743</v>
      </c>
    </row>
    <row r="49" spans="2:3" x14ac:dyDescent="0.3">
      <c r="B49" s="13" t="s">
        <v>80</v>
      </c>
      <c r="C49" s="14">
        <f>COUNTIF(Datos!$I$2:$I$601,B49)</f>
        <v>56</v>
      </c>
    </row>
    <row r="50" spans="2:3" x14ac:dyDescent="0.3">
      <c r="B50" s="13" t="s">
        <v>118</v>
      </c>
      <c r="C50" s="14">
        <f>COUNTIF(Datos!$I$2:$I$601,B50)</f>
        <v>52</v>
      </c>
    </row>
    <row r="51" spans="2:3" x14ac:dyDescent="0.3">
      <c r="B51" s="13" t="s">
        <v>65</v>
      </c>
      <c r="C51" s="14">
        <f>COUNTIF(Datos!$I$2:$I$601,B51)</f>
        <v>51</v>
      </c>
    </row>
    <row r="52" spans="2:3" x14ac:dyDescent="0.3">
      <c r="B52" s="13" t="s">
        <v>112</v>
      </c>
      <c r="C52" s="14">
        <f>COUNTIF(Datos!$I$2:$I$601,B52)</f>
        <v>51</v>
      </c>
    </row>
    <row r="53" spans="2:3" x14ac:dyDescent="0.3">
      <c r="B53" s="13" t="s">
        <v>140</v>
      </c>
      <c r="C53" s="14">
        <f>COUNTIF(Datos!$I$2:$I$601,B53)</f>
        <v>51</v>
      </c>
    </row>
    <row r="54" spans="2:3" x14ac:dyDescent="0.3">
      <c r="B54" s="13" t="s">
        <v>122</v>
      </c>
      <c r="C54" s="14">
        <f>COUNTIF(Datos!$I$2:$I$601,B54)</f>
        <v>50</v>
      </c>
    </row>
    <row r="55" spans="2:3" x14ac:dyDescent="0.3">
      <c r="B55" s="13" t="s">
        <v>52</v>
      </c>
      <c r="C55" s="14">
        <f>COUNTIF(Datos!$I$2:$I$601,B55)</f>
        <v>48</v>
      </c>
    </row>
    <row r="56" spans="2:3" x14ac:dyDescent="0.3">
      <c r="B56" s="13" t="s">
        <v>199</v>
      </c>
      <c r="C56" s="14">
        <f>COUNTIF(Datos!$I$2:$I$601,B56)</f>
        <v>48</v>
      </c>
    </row>
    <row r="57" spans="2:3" x14ac:dyDescent="0.3">
      <c r="B57" s="13" t="s">
        <v>132</v>
      </c>
      <c r="C57" s="14">
        <f>COUNTIF(Datos!$I$2:$I$601,B57)</f>
        <v>43</v>
      </c>
    </row>
    <row r="58" spans="2:3" x14ac:dyDescent="0.3">
      <c r="B58" s="13" t="s">
        <v>30</v>
      </c>
      <c r="C58" s="14">
        <f>COUNTIF(Datos!$I$2:$I$601,B58)</f>
        <v>30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Dashboard</vt:lpstr>
      <vt:lpstr>Datos</vt:lpstr>
      <vt:lpstr>Resumen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Efrain Sebastian Rojas Artavia</cp:lastModifiedBy>
  <cp:revision>1</cp:revision>
  <dcterms:created xsi:type="dcterms:W3CDTF">2026-07-07T21:05:29Z</dcterms:created>
  <dcterms:modified xsi:type="dcterms:W3CDTF">2026-07-10T22:16:27Z</dcterms:modified>
  <dc:language>en-US</dc:language>
</cp:coreProperties>
</file>